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DATA" sheetId="3" r:id="rId1"/>
    <sheet name="PROCESSING" sheetId="6" r:id="rId2"/>
    <sheet name="RATIOS" sheetId="7" r:id="rId3"/>
    <sheet name="DASHBOARD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LNST + CPLV + Thuế</t>
        </r>
      </text>
    </comment>
    <comment ref="B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EBIT + Khấu hao TSCĐ + Khấu hao BĐSĐT</t>
        </r>
      </text>
    </comment>
    <comment ref="B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Thuế TNDN / LNTT</t>
        </r>
      </text>
    </comment>
    <comment ref="B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EBIT * (1 - tax rate)</t>
        </r>
      </text>
    </comment>
    <comment ref="B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LNST / SLCP ĐLH</t>
        </r>
      </text>
    </comment>
    <comment ref="B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VCSH / SLCP ĐLH</t>
        </r>
      </text>
    </comment>
    <comment ref="B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Giá * SLCP ĐLH</t>
        </r>
      </text>
    </comment>
    <comment ref="B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Vốn hóa + Tổng nợ - Tiền mặt</t>
        </r>
      </text>
    </comment>
    <comment ref="B1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CFO - CapEx</t>
        </r>
      </text>
    </comment>
    <comment ref="B11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CFO - CFO before Working Capital</t>
        </r>
      </text>
    </comment>
    <comment ref="B1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 dự phóng / SLCP ĐLH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Lợi nhuận gộp / Doanh thu thuần</t>
        </r>
      </text>
    </comment>
    <comment ref="C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Lợi nhuận thuần / Doanh thu thuần</t>
        </r>
      </text>
    </comment>
    <comment ref="C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LNST / Doanh thu thuần</t>
        </r>
      </text>
    </comment>
    <comment ref="C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EBITDA / Doanh thu thuần</t>
        </r>
      </text>
    </comment>
    <comment ref="C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LNST / Tổng tài sản</t>
        </r>
      </text>
    </comment>
    <comment ref="C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LNST / VCSH</t>
        </r>
      </text>
    </comment>
    <comment ref="C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NOPAT / (Nợ + VCSH - Tiền mặt)</t>
        </r>
      </text>
    </comment>
    <comment ref="C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Net Profit Margin * Asset Turnover * Equity Multiplier</t>
        </r>
      </text>
    </comment>
    <comment ref="C1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TSNH / Nợ NH</t>
        </r>
      </text>
    </comment>
    <comment ref="C11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(TSNH - HTK) / Nợ NH</t>
        </r>
      </text>
    </comment>
    <comment ref="C1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Tiền &amp; TĐ tiền / Nợ NH</t>
        </r>
      </text>
    </comment>
    <comment ref="C1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Tổng nợ / Tổng tài sản</t>
        </r>
      </text>
    </comment>
    <comment ref="C1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Tổng nợ / VCSH</t>
        </r>
      </text>
    </comment>
    <comment ref="C1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Tổng nợ / EBITDA</t>
        </r>
      </text>
    </comment>
    <comment ref="C1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(Tổng nợ - Tiền mặt) / EBITDA</t>
        </r>
      </text>
    </comment>
    <comment ref="C1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Tổng tài sản / VCSH</t>
        </r>
      </text>
    </comment>
    <comment ref="C1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Tổng tài sản / VCSH</t>
        </r>
      </text>
    </comment>
    <comment ref="C1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EBIT / Chi phí lãi vay</t>
        </r>
      </text>
    </comment>
    <comment ref="C2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Doanh thu thuần / Tổng tài sản</t>
        </r>
      </text>
    </comment>
    <comment ref="C21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Doanh thu thuần / Tài sản cố định</t>
        </r>
      </text>
    </comment>
    <comment ref="C2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COGS / Hàng tồn kho</t>
        </r>
      </text>
    </comment>
    <comment ref="C2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Doanh thu thuần / Khoản phải thu [phải thu khách hàng ngắn hạn]</t>
        </r>
      </text>
    </comment>
    <comment ref="C2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COGS / Khoản phải trả [phải trả ngắn hạn cho NCC]</t>
        </r>
      </text>
    </comment>
    <comment ref="C2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(Khoản phải thu [thu KH ngắn hạn] / Doanh thu thuần) * 365</t>
        </r>
      </text>
    </comment>
    <comment ref="C2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(Hàng tồn kho / COGS) * 365</t>
        </r>
      </text>
    </comment>
    <comment ref="C2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(Khoản phải trả [trả NCC ngắn hạn] / COGS) * 365</t>
        </r>
      </text>
    </comment>
    <comment ref="C2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DSO + DIO - DPO</t>
        </r>
      </text>
    </comment>
    <comment ref="C2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Giá / EPS</t>
        </r>
      </text>
    </comment>
    <comment ref="C3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Giá / Forward EPS</t>
        </r>
      </text>
    </comment>
    <comment ref="C31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Giá / BVPS</t>
        </r>
      </text>
    </comment>
    <comment ref="C3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Vốn hóa / Doanh thu thuần</t>
        </r>
      </text>
    </comment>
    <comment ref="C3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Vốn hóa / CFO</t>
        </r>
      </text>
    </comment>
    <comment ref="C3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 / EBITDA</t>
        </r>
      </text>
    </comment>
    <comment ref="C3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 / EBIT</t>
        </r>
      </text>
    </comment>
    <comment ref="C3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 / Doanh thu thuần</t>
        </r>
      </text>
    </comment>
    <comment ref="C3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FCF / Vốn hóa</t>
        </r>
      </text>
    </comment>
    <comment ref="C3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Cổ tức / Giá</t>
        </r>
      </text>
    </comment>
    <comment ref="C3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LNST + Khấu hao TSCĐ + Khấu hao BĐSĐT - Maintenance CapEx - ΔWorking Capital</t>
        </r>
      </text>
    </comment>
    <comment ref="C4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Owner Earnings / Vốn hóa</t>
        </r>
      </text>
    </comment>
  </commentList>
</comments>
</file>

<file path=xl/sharedStrings.xml><?xml version="1.0" encoding="utf-8"?>
<sst xmlns="http://schemas.openxmlformats.org/spreadsheetml/2006/main" count="274" uniqueCount="261">
  <si>
    <t>BALANCE SHEET</t>
  </si>
  <si>
    <t>Giá CP</t>
  </si>
  <si>
    <t>TÀI SẢN</t>
  </si>
  <si>
    <t>SLCP ĐLH</t>
  </si>
  <si>
    <t>A - TÀI SẢN NGẮN HẠN</t>
  </si>
  <si>
    <t>I. Tiền và các khoản tương đương tiền</t>
  </si>
  <si>
    <t>1. Tiền</t>
  </si>
  <si>
    <t>2. Các khoản tương đương tiền</t>
  </si>
  <si>
    <t>II. Đầu tư tài chính ngắn hạn</t>
  </si>
  <si>
    <t>1. Chứng khoán kinh doanh</t>
  </si>
  <si>
    <t>2. Dự phòng giảm giá chứng khoán kinh doanh (*)</t>
  </si>
  <si>
    <t>3. Đầu tư nắm giữ đến ngày đáo hạn</t>
  </si>
  <si>
    <t>III. Các khoản phải thu ngắn hạn</t>
  </si>
  <si>
    <t>1. Phải thu ngắn hạn của khách hàng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</si>
  <si>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</si>
  <si>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</si>
  <si>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</si>
  <si>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</si>
  <si>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</si>
  <si>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</si>
  <si>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</si>
  <si>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IV. Hàng tồn kho</t>
  </si>
  <si>
    <t>1. Hàng tồn kho</t>
  </si>
  <si>
    <t>2. Dự phòng giảm giá hàng tồn kho (*)</t>
  </si>
  <si>
    <t>V. Tài sản ngắn hạn khác</t>
  </si>
  <si>
    <t>1. Chi phí trả trước ngắn hạn</t>
  </si>
  <si>
    <t>2. Thuế GTGT được khấu trừ</t>
  </si>
  <si>
    <t>3. Thuế và các khoản khác phải thu Nhà nước</t>
  </si>
  <si>
    <t>4. Giao dịch mua bán lại trái phiếu Chính phủ</t>
  </si>
  <si>
    <t>5. Tài sản ngắn hạn khác</t>
  </si>
  <si>
    <t>B - TÀI SẢN DÀI HẠN</t>
  </si>
  <si>
    <t>I. Các khoản phải thu dài hạn</t>
  </si>
  <si>
    <t>1. Phải thu dài hạn của khách hàng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</si>
  <si>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</si>
  <si>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</si>
  <si>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</si>
  <si>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</si>
  <si>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</si>
  <si>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</si>
  <si>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</si>
  <si>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1. Tài sản cố định hữu hình</t>
  </si>
  <si>
    <t xml:space="preserve">      - Nguyên giá</t>
  </si>
  <si>
    <t xml:space="preserve">      - Giá trị hao mòn luỹ kế (*)</t>
  </si>
  <si>
    <t>2. Tài sản cố định thuê tài chính</t>
  </si>
  <si>
    <t>3. Tài sản cố định vô hình</t>
  </si>
  <si>
    <t>III. Bất động sản đầu tư</t>
  </si>
  <si>
    <t>IV. Tài sản dở dang dài hạn</t>
  </si>
  <si>
    <t>1. Chi phí sản xuất, kinh doanh dở dang dài hạn</t>
  </si>
  <si>
    <t>2. Chi phí xây dựng cơ bản dở dang</t>
  </si>
  <si>
    <t>V. Đầu tư tài chính dài hạn</t>
  </si>
  <si>
    <t>1. Đầu tư vào công ty con</t>
  </si>
  <si>
    <t>2. Đầu tư vào công ty liên doanh, liên kết</t>
  </si>
  <si>
    <t>3. Đầu tư góp vốn vào đơn vị khác</t>
  </si>
  <si>
    <t>4. Dự phòng đầu tư tài chính dài hạn (*)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</si>
  <si>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</si>
  <si>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</si>
  <si>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</si>
  <si>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</si>
  <si>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</si>
  <si>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</si>
  <si>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TỔNG CỘNG TÀI SẢN</t>
  </si>
  <si>
    <t>C - NỢ PHẢI TRẢ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</si>
  <si>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</si>
  <si>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</si>
  <si>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</si>
  <si>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</si>
  <si>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</si>
  <si>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</si>
  <si>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</si>
  <si>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</si>
  <si>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>8. Doanh thu chưa thực hiện ngắn hạn</t>
  </si>
  <si>
    <t>9. Phải trả ngắn hạn khác</t>
  </si>
  <si>
    <t>10. Vay và nợ thuê tài chính ngắn hạn</t>
  </si>
  <si>
    <t>11. Dự phòng phải trả ngắn hạn</t>
  </si>
  <si>
    <t>12. Quỹ khen thưởng, phúc lợi</t>
  </si>
  <si>
    <t>13. Quỹ bình ổn giá</t>
  </si>
  <si>
    <t>14. Giao dịch mua bán lại trái phiếu Chính phủ</t>
  </si>
  <si>
    <t>II. Nợ dài hạn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</si>
  <si>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</si>
  <si>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</si>
  <si>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</si>
  <si>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</si>
  <si>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</si>
  <si>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 xml:space="preserve">6. Doanh thu chưa thực hiện dài hạn </t>
  </si>
  <si>
    <t>7. Phải trả dài hạn khác</t>
  </si>
  <si>
    <t>8. Vay và nợ thuê tài chính dài hạn</t>
  </si>
  <si>
    <t>9. Trái phiếu chuyển đổi</t>
  </si>
  <si>
    <t>10. Cổ phiếu ưu đãi</t>
  </si>
  <si>
    <t>11. Thuế thu nhập hoãn lại phải trả</t>
  </si>
  <si>
    <t>12. Dự phòng phải trả dài hạn</t>
  </si>
  <si>
    <t>13. Quỹ phát triển khoa học và công nghệ</t>
  </si>
  <si>
    <t>D - VỐN CHỦ SỞ HỮU</t>
  </si>
  <si>
    <t>I. Vốn chủ sở hữu</t>
  </si>
  <si>
    <t>1. Vốn góp của chủ sở hữu</t>
  </si>
  <si>
    <t>2. Thặng dư vốn cổ phần</t>
  </si>
  <si>
    <t>3. Quyền chọn chuyển đổi trái phiếu</t>
  </si>
  <si>
    <t xml:space="preserve">4. Vốn khác của chủ sở hữu 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</si>
  <si>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</si>
  <si>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</si>
  <si>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</si>
  <si>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</si>
  <si>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</si>
  <si>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</si>
  <si>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</si>
  <si>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 xml:space="preserve">     - LNST chưa phân phối lũy kế đến cuối kỳ trước</t>
  </si>
  <si>
    <t xml:space="preserve">     - LNST chưa phân phối kỳ này</t>
  </si>
  <si>
    <t>12. Nguồn vốn đầu tư XDCB</t>
  </si>
  <si>
    <t>13. Lợi ích cổ đông không kiểm soát</t>
  </si>
  <si>
    <t>II. Nguồn kinh phí và quỹ khác</t>
  </si>
  <si>
    <t>1. Nguồn kinh phí</t>
  </si>
  <si>
    <t>2. Nguồn kinh phí đã hình thành TSCĐ</t>
  </si>
  <si>
    <t>TỔNG CỘNG NGUỒN VỐN</t>
  </si>
  <si>
    <t>INCOME STATEMENT</t>
  </si>
  <si>
    <t>1. Doanh thu bán hàng và cung cấp dịch vụ</t>
  </si>
  <si>
    <t>2. Các khoản giảm trừ doanh thu</t>
  </si>
  <si>
    <t>3. Doanh thu thuần</t>
  </si>
  <si>
    <t>4. Giá vốn hàng bán</t>
  </si>
  <si>
    <t>5. Lợi nhuận gộp</t>
  </si>
  <si>
    <t>6. Doanh thu hoạt động tài chính</t>
  </si>
  <si>
    <t>7. Chi phí tài chính</t>
  </si>
  <si>
    <t xml:space="preserve">     - Chi phí lãi vay</t>
  </si>
  <si>
    <t>8. Chi phí bán hàng</t>
  </si>
  <si>
    <t>9. Chi phí quản lý doanh nghiệp</t>
  </si>
  <si>
    <t>10. Lợi nhuận thuần từ HĐKD</t>
  </si>
  <si>
    <t>11. Thu nhập khác</t>
  </si>
  <si>
    <t>12. Chi phí khác</t>
  </si>
  <si>
    <t>13. Lợi nhuận khác</t>
  </si>
  <si>
    <t>14. Lợi nhuận kế toán trước thuế</t>
  </si>
  <si>
    <t>15+16. Chi phí thuế TNDN</t>
  </si>
  <si>
    <t>17. Lợi nhuận sau thuế TNDN</t>
  </si>
  <si>
    <t>18. Lãi cơ bản trên cổ phiếu</t>
  </si>
  <si>
    <t>CASH FLOW STATEMENT</t>
  </si>
  <si>
    <t>I. Lưu chuyển tiền từ hoạt động kinh doanh (Trực tiếp)</t>
  </si>
  <si>
    <t>1. Tiền thu từ bán hàng, cung cấp dịch vụ và doanh thu khác</t>
  </si>
  <si>
    <t>2. Tiền chi trả cho người cung cấp hàng hóa và dịch vụ</t>
  </si>
  <si>
    <t>3. Tiền chi trả cho người lao động</t>
  </si>
  <si>
    <t>4. Tiền lãi vay đã trả</t>
  </si>
  <si>
    <t>5. Thuế thu nhập doanh nghiệp đã nộp</t>
  </si>
  <si>
    <t>6. Tiền thu khác từ hoạt động kinh doanh</t>
  </si>
  <si>
    <t>7. Tiền chi khác cho hoạt động kinh doanh</t>
  </si>
  <si>
    <t>Lưu chuyển tiền thuần từ hoạt động kinh doanh</t>
  </si>
  <si>
    <t>I. Lưu chuyển tiền từ hoạt động kinh doanh (Gián tiếp)</t>
  </si>
  <si>
    <t>1. Lợi nhuận trước thuế</t>
  </si>
  <si>
    <t>2. Điều chỉnh cho các khoản</t>
  </si>
  <si>
    <t xml:space="preserve">     - Khấu hao TSCĐ và BĐSĐT</t>
  </si>
  <si>
    <t xml:space="preserve">     - Các khoản dự phòng</t>
  </si>
  <si>
    <t xml:space="preserve">     - Lãi, lỗ chênh lệch tỷ giá hối đoái do đánh giá lại các khoản mục tiền tệ có gốc ngoại tệ</t>
  </si>
  <si>
    <t xml:space="preserve">     - Lãi, lỗ từ hoạt động đầu tư</t>
  </si>
  <si>
    <t xml:space="preserve">     - Các khoản điều chỉnh khác</t>
  </si>
  <si>
    <t>3. Lợi nhuận từ hoạt động kinh doanh trước thay đổi vốn lưu động</t>
  </si>
  <si>
    <t xml:space="preserve">     - Tăng, giảm các khoản phải thu</t>
  </si>
  <si>
    <t xml:space="preserve">     - Tăng, giảm hàng tồn kho</t>
  </si>
  <si>
    <t xml:space="preserve">     - Tăng, giảm các khoản phải trả (Không kể lãi vay phải trả, thuế thu nhập doanh nghiệp phải nộp)</t>
  </si>
  <si>
    <t xml:space="preserve">     - Tăng, giảm chi phí trả trước</t>
  </si>
  <si>
    <t xml:space="preserve">     - Tăng, giảm chứng khoán kinh doanh</t>
  </si>
  <si>
    <t xml:space="preserve">     - Tiền lãi vay đã trả</t>
  </si>
  <si>
    <t xml:space="preserve">     - Thuế thu nhập doanh nghiệp đã nộp</t>
  </si>
  <si>
    <t xml:space="preserve">     - Tiền thu khác từ hoạt động kinh doanh</t>
  </si>
  <si>
    <t xml:space="preserve">     - Tiền chi khác cho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</si>
  <si>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</si>
  <si>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</si>
  <si>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</si>
  <si>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</si>
  <si>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</si>
  <si>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</si>
  <si>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</si>
  <si>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</si>
  <si>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</si>
  <si>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</si>
  <si>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cổ phiếu, nhận vốn góp của chủ sở hữu</t>
  </si>
  <si>
    <t>2. Tiền trả lại vốn góp cho các chủ sở hữu, mua lại cổ phiếu của doanh nghiệp đã phát hành</t>
  </si>
  <si>
    <t>3. Tiền thu từ đi vay</t>
  </si>
  <si>
    <t>4. Tiền trả nợ gốc vay</t>
  </si>
  <si>
    <t>5. Tiền trả nợ gốc thuê tài chính</t>
  </si>
  <si>
    <t>6. Cổ tức, lợi nhuận đã trả cho chủ sở hữu</t>
  </si>
  <si>
    <t>Lưu chuyển tiền thuần từ hoạt động tài chính</t>
  </si>
  <si>
    <t>Lưu chuyển tiền thuần trong kỳ (50 = 20+30+40)</t>
  </si>
  <si>
    <t>Tiền và tương đương tiền đầu kỳ</t>
  </si>
  <si>
    <t>Ảnh hưởng của thay đổi tỷ giá hối đoái quy đổi ngoại tệ</t>
  </si>
  <si>
    <t>Tiền và tương đương tiền cuối kỳ (70 = 50+60+61)</t>
  </si>
  <si>
    <t>KHÁC</t>
  </si>
  <si>
    <t>Cổ tức</t>
  </si>
  <si>
    <t>Lợi nhuận dự phóng</t>
  </si>
  <si>
    <t>No.</t>
  </si>
  <si>
    <t>EBIT</t>
  </si>
  <si>
    <t>EBITDA</t>
  </si>
  <si>
    <t>Tax Rate</t>
  </si>
  <si>
    <t>NOPAT</t>
  </si>
  <si>
    <t>EPS</t>
  </si>
  <si>
    <t>BVPS</t>
  </si>
  <si>
    <t>Vốn hóa</t>
  </si>
  <si>
    <t>EV</t>
  </si>
  <si>
    <t>FCF</t>
  </si>
  <si>
    <t>ΔWC</t>
  </si>
  <si>
    <t>only indirect cash flow statement</t>
  </si>
  <si>
    <t>Forward EPS</t>
  </si>
  <si>
    <t>PROFITABILITY</t>
  </si>
  <si>
    <t>Gross Profit Margin</t>
  </si>
  <si>
    <t>GPM</t>
  </si>
  <si>
    <t>Operating Profit Margin</t>
  </si>
  <si>
    <t>OPM</t>
  </si>
  <si>
    <t>Net Profit Margin</t>
  </si>
  <si>
    <t>NPM</t>
  </si>
  <si>
    <t>EBITDA Margin</t>
  </si>
  <si>
    <t>ko có chỉ số này trong BCLCTT trực tiếp</t>
  </si>
  <si>
    <t>Return on Assets</t>
  </si>
  <si>
    <t>ROA</t>
  </si>
  <si>
    <t>Return on Equity</t>
  </si>
  <si>
    <t>ROE</t>
  </si>
  <si>
    <t>Return on Invested Capital</t>
  </si>
  <si>
    <t>ROIC</t>
  </si>
  <si>
    <t>DuPoint Analysis (ROE)</t>
  </si>
  <si>
    <t>LIQUIDITY</t>
  </si>
  <si>
    <t>Current Ratio</t>
  </si>
  <si>
    <t>Quick Ratio</t>
  </si>
  <si>
    <t>Cash Ratio</t>
  </si>
  <si>
    <t>LEVERAGE/SOLVENCY</t>
  </si>
  <si>
    <t>Debt-to-Assets</t>
  </si>
  <si>
    <t>D/A</t>
  </si>
  <si>
    <t>Debt-to-Equity</t>
  </si>
  <si>
    <t>D/E</t>
  </si>
  <si>
    <t>Debt-to-EBITDA</t>
  </si>
  <si>
    <t>Net Debt-to-EBITDA</t>
  </si>
  <si>
    <t>Equity Multiplier</t>
  </si>
  <si>
    <t>Financial Leverage Ratio</t>
  </si>
  <si>
    <t>FLR</t>
  </si>
  <si>
    <t>Interest Coverage Ratio</t>
  </si>
  <si>
    <t>ICR</t>
  </si>
  <si>
    <t>EFFIENCY/ACTIVITIES</t>
  </si>
  <si>
    <t>Total Asset Turnover</t>
  </si>
  <si>
    <t>Fixed Asset Turnover</t>
  </si>
  <si>
    <t>Inventory Turnover</t>
  </si>
  <si>
    <t>Receivables Turnover</t>
  </si>
  <si>
    <t>Payables Turnover</t>
  </si>
  <si>
    <t>Days Sales Outstanding</t>
  </si>
  <si>
    <t>DSO</t>
  </si>
  <si>
    <t>Days Inventory Outstanding</t>
  </si>
  <si>
    <t>DIO</t>
  </si>
  <si>
    <t>Days Payable Outstanding</t>
  </si>
  <si>
    <t>DPO</t>
  </si>
  <si>
    <t>Cash Coversion Cycle</t>
  </si>
  <si>
    <t>CCC</t>
  </si>
  <si>
    <t>VALUATION</t>
  </si>
  <si>
    <t>Price-to-Earnings</t>
  </si>
  <si>
    <t>P/E</t>
  </si>
  <si>
    <t>Forward Price-to-Earnings</t>
  </si>
  <si>
    <t>Price-to-Book</t>
  </si>
  <si>
    <t>P/B</t>
  </si>
  <si>
    <t>Price-to-Sales</t>
  </si>
  <si>
    <t>P/S</t>
  </si>
  <si>
    <t>Price-to-Cash Flow</t>
  </si>
  <si>
    <t>P/CF</t>
  </si>
  <si>
    <t>EV/EBITDA</t>
  </si>
  <si>
    <t>EV/EBIT</t>
  </si>
  <si>
    <t>EV/Sales</t>
  </si>
  <si>
    <t>Free Cash Flow Yield</t>
  </si>
  <si>
    <t>FCF Yield</t>
  </si>
  <si>
    <t>Dividend Yield</t>
  </si>
  <si>
    <t>Owner Earnings</t>
  </si>
  <si>
    <t>ko có chỉ số này trong BCLCTT trực tiếp, maintenance capex tạm thời lấy capex luôn</t>
  </si>
  <si>
    <t>Owner Earnings Yield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</si>
</sst>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;\(0.00\)"/>
    <numFmt numFmtId="181" formatCode="0.00&quot; x&quot;;\(0.00\)&quot; x&quot;"/>
    <numFmt numFmtId="182" formatCode="0&quot; days&quot;;\(0\)&quot; days&quot;"/>
    <numFmt numFmtId="183" formatCode="#,##0;\(#,##0\)"/>
  </numFmts>
  <fonts count="34">
    <font>
      <sz val="11"/>
      <color theme="1"/>
      <name val="Calibri"/>
      <charset val="163"/>
      <scheme val="minor"/>
    </font>
    <font>
      <b/>
      <sz val="12"/>
      <color theme="1"/>
      <name val="Times New Roman"/>
      <charset val="163"/>
    </font>
    <font>
      <sz val="12"/>
      <color theme="1"/>
      <name val="Times New Roman"/>
      <charset val="163"/>
    </font>
    <font>
      <b/>
      <sz val="12"/>
      <color rgb="FF000000"/>
      <name val="Times New Roman"/>
      <charset val="163"/>
    </font>
    <font>
      <sz val="10"/>
      <color theme="1"/>
      <name val="Times New Roman"/>
      <charset val="163"/>
    </font>
    <font>
      <sz val="12"/>
      <name val="Times New Roman"/>
      <charset val="163"/>
    </font>
    <font>
      <b/>
      <sz val="14"/>
      <color theme="1"/>
      <name val="Times New Roman"/>
      <charset val="163"/>
    </font>
    <font>
      <sz val="14"/>
      <color theme="1"/>
      <name val="Times New Roman"/>
      <charset val="163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b/>
      <i/>
      <sz val="14"/>
      <color theme="1"/>
      <name val="Times New Roman"/>
      <charset val="163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80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10" fontId="2" fillId="0" borderId="1" xfId="3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10" fontId="2" fillId="0" borderId="0" xfId="3" applyNumberFormat="1" applyFont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5" fillId="0" borderId="2" xfId="0" applyFont="1" applyBorder="1" applyAlignment="1">
      <alignment vertical="center"/>
    </xf>
    <xf numFmtId="10" fontId="2" fillId="0" borderId="2" xfId="3" applyNumberFormat="1" applyFont="1" applyBorder="1" applyAlignment="1">
      <alignment horizontal="right" vertical="center"/>
    </xf>
    <xf numFmtId="181" fontId="2" fillId="0" borderId="1" xfId="0" applyNumberFormat="1" applyFont="1" applyBorder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81" fontId="2" fillId="0" borderId="2" xfId="0" applyNumberFormat="1" applyFont="1" applyBorder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82" fontId="2" fillId="0" borderId="2" xfId="0" applyNumberFormat="1" applyFont="1" applyBorder="1" applyAlignment="1">
      <alignment horizontal="right" vertical="center"/>
    </xf>
    <xf numFmtId="180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80" fontId="2" fillId="0" borderId="0" xfId="0" applyNumberFormat="1" applyFont="1"/>
    <xf numFmtId="0" fontId="1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>
      <alignment horizontal="left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83" fontId="8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183" fontId="6" fillId="3" borderId="6" xfId="0" applyNumberFormat="1" applyFont="1" applyFill="1" applyBorder="1" applyAlignment="1">
      <alignment horizontal="right" vertical="center"/>
    </xf>
    <xf numFmtId="183" fontId="7" fillId="3" borderId="6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 wrapText="1"/>
    </xf>
    <xf numFmtId="183" fontId="7" fillId="0" borderId="0" xfId="0" applyNumberFormat="1" applyFont="1" applyFill="1" applyBorder="1" applyAlignment="1">
      <alignment horizontal="right" vertical="center"/>
    </xf>
    <xf numFmtId="183" fontId="6" fillId="0" borderId="0" xfId="0" applyNumberFormat="1" applyFont="1" applyBorder="1" applyAlignment="1">
      <alignment horizontal="right" vertical="center"/>
    </xf>
    <xf numFmtId="183" fontId="7" fillId="0" borderId="0" xfId="0" applyNumberFormat="1" applyFont="1" applyBorder="1" applyAlignment="1">
      <alignment horizontal="right"/>
    </xf>
    <xf numFmtId="183" fontId="7" fillId="3" borderId="6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left" vertical="center"/>
    </xf>
    <xf numFmtId="183" fontId="6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8181"/>
      <color rgb="00B3D8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1"/>
  <sheetViews>
    <sheetView tabSelected="1" zoomScale="70" zoomScaleNormal="70" workbookViewId="0">
      <pane ySplit="1" topLeftCell="A2" activePane="bottomLeft" state="frozen"/>
      <selection/>
      <selection pane="bottomLeft" activeCell="D40" sqref="D40"/>
    </sheetView>
  </sheetViews>
  <sheetFormatPr defaultColWidth="8.88888888888889" defaultRowHeight="20" customHeight="1"/>
  <cols>
    <col min="1" max="1" width="53.6666666666667" style="33" customWidth="1"/>
    <col min="2" max="6" width="25.7777777777778" style="34" customWidth="1"/>
    <col min="7" max="7" width="8.88888888888889" style="35"/>
    <col min="8" max="8" width="17.7777777777778" style="33" customWidth="1"/>
    <col min="9" max="9" width="17.6666666666667" style="34" customWidth="1"/>
    <col min="10" max="16384" width="8.88888888888889" style="35"/>
  </cols>
  <sheetData>
    <row r="1" s="31" customFormat="1" customHeight="1" spans="1:9">
      <c r="A1" s="36"/>
      <c r="B1" s="37">
        <v>2025</v>
      </c>
      <c r="C1" s="37">
        <v>2024</v>
      </c>
      <c r="D1" s="37">
        <v>2023</v>
      </c>
      <c r="E1" s="37">
        <v>2022</v>
      </c>
      <c r="F1" s="37">
        <v>2021</v>
      </c>
      <c r="H1" s="36"/>
      <c r="I1" s="48"/>
    </row>
    <row r="2" s="32" customFormat="1" ht="50" customHeight="1" spans="1:9">
      <c r="A2" s="38" t="s">
        <v>0</v>
      </c>
      <c r="B2" s="39"/>
      <c r="C2" s="39"/>
      <c r="D2" s="39"/>
      <c r="E2" s="39"/>
      <c r="F2" s="39"/>
      <c r="H2" s="40"/>
      <c r="I2" s="49"/>
    </row>
    <row r="3" s="32" customFormat="1" customHeight="1" spans="1:9">
      <c r="A3" s="41"/>
      <c r="B3" s="34"/>
      <c r="C3" s="34"/>
      <c r="D3" s="34"/>
      <c r="E3" s="34"/>
      <c r="F3" s="34"/>
      <c r="H3" s="42" t="s">
        <v>1</v>
      </c>
      <c r="I3" s="50"/>
    </row>
    <row r="4" customHeight="1" spans="1:9">
      <c r="A4" s="38" t="s">
        <v>2</v>
      </c>
      <c r="H4" s="36" t="s">
        <v>3</v>
      </c>
      <c r="I4" s="45"/>
    </row>
    <row r="5" customHeight="1" spans="1:1">
      <c r="A5" s="43"/>
    </row>
    <row r="6" s="31" customFormat="1" customHeight="1" spans="1:9">
      <c r="A6" s="38" t="s">
        <v>4</v>
      </c>
      <c r="B6" s="44"/>
      <c r="C6" s="44"/>
      <c r="D6" s="44"/>
      <c r="E6" s="44"/>
      <c r="F6" s="44"/>
      <c r="H6" s="36"/>
      <c r="I6" s="48"/>
    </row>
    <row r="7" customHeight="1" spans="1:1">
      <c r="A7" s="41"/>
    </row>
    <row r="8" customHeight="1" spans="1:6">
      <c r="A8" s="41" t="s">
        <v>5</v>
      </c>
      <c r="B8" s="45"/>
      <c r="C8" s="45"/>
      <c r="D8" s="45"/>
      <c r="E8" s="45"/>
      <c r="F8" s="45"/>
    </row>
    <row r="9" hidden="1" customHeight="1" spans="1:1">
      <c r="A9" s="43" t="s">
        <v>6</v>
      </c>
    </row>
    <row r="10" hidden="1" customHeight="1" spans="1:1">
      <c r="A10" s="46" t="s">
        <v>7</v>
      </c>
    </row>
    <row r="11" customHeight="1" spans="1:1">
      <c r="A11" s="46"/>
    </row>
    <row r="12" customHeight="1" spans="1:6">
      <c r="A12" s="41" t="s">
        <v>8</v>
      </c>
      <c r="B12" s="47"/>
      <c r="C12" s="47"/>
      <c r="D12" s="47"/>
      <c r="E12" s="47"/>
      <c r="F12" s="47"/>
    </row>
    <row r="13" hidden="1" customHeight="1" spans="1:1">
      <c r="A13" s="43" t="s">
        <v>9</v>
      </c>
    </row>
    <row r="14" hidden="1" customHeight="1" spans="1:1">
      <c r="A14" s="43" t="s">
        <v>10</v>
      </c>
    </row>
    <row r="15" hidden="1" customHeight="1" spans="1:1">
      <c r="A15" s="43" t="s">
        <v>11</v>
      </c>
    </row>
    <row r="16" customHeight="1" spans="1:1">
      <c r="A16" s="43"/>
    </row>
    <row r="17" customHeight="1" spans="1:6">
      <c r="A17" s="41" t="s">
        <v>12</v>
      </c>
      <c r="B17" s="47"/>
      <c r="C17" s="47"/>
      <c r="D17" s="47"/>
      <c r="E17" s="47"/>
      <c r="F17" s="47"/>
    </row>
    <row r="18" customHeight="1" spans="1:6">
      <c r="A18" s="43" t="s">
        <v>13</v>
      </c>
      <c r="B18" s="45"/>
      <c r="C18" s="45"/>
      <c r="D18" s="45"/>
      <c r="E18" s="45"/>
      <c r="F18" s="45"/>
    </row>
    <row r="19" hidden="1" customHeight="1" spans="1:1">
      <c r="A19" s="43" t="s">
        <v>14</v>
      </c>
    </row>
    <row r="20" hidden="1" customHeight="1" spans="1:1">
      <c r="A20" s="43" t="s">
        <v>15</v>
      </c>
    </row>
    <row r="21" hidden="1" customHeight="1" spans="1:1">
      <c r="A21" s="43" t="s">
        <v>16</v>
      </c>
    </row>
    <row r="22" hidden="1" customHeight="1" spans="1:1">
      <c r="A22" s="43" t="s">
        <v>17</v>
      </c>
    </row>
    <row r="23" hidden="1" customHeight="1" spans="1:1">
      <c r="A23" s="43" t="s">
        <v>18</v>
      </c>
    </row>
    <row r="24" hidden="1" customHeight="1" spans="1:1">
      <c r="A24" s="43" t="s">
        <v>19</v>
      </c>
    </row>
    <row r="25" hidden="1" customHeight="1" spans="1:1">
      <c r="A25" s="43" t="s">
        <v>20</v>
      </c>
    </row>
    <row r="26" customHeight="1" spans="1:1">
      <c r="A26" s="43"/>
    </row>
    <row r="27" customHeight="1" spans="1:6">
      <c r="A27" s="41" t="s">
        <v>21</v>
      </c>
      <c r="B27" s="45"/>
      <c r="C27" s="45"/>
      <c r="D27" s="45"/>
      <c r="E27" s="45"/>
      <c r="F27" s="45"/>
    </row>
    <row r="28" hidden="1" customHeight="1" spans="1:1">
      <c r="A28" s="43" t="s">
        <v>22</v>
      </c>
    </row>
    <row r="29" hidden="1" customHeight="1" spans="1:1">
      <c r="A29" s="43" t="s">
        <v>23</v>
      </c>
    </row>
    <row r="30" customHeight="1" spans="1:1">
      <c r="A30" s="43"/>
    </row>
    <row r="31" customHeight="1" spans="1:6">
      <c r="A31" s="41" t="s">
        <v>24</v>
      </c>
      <c r="B31" s="47"/>
      <c r="C31" s="47"/>
      <c r="D31" s="47"/>
      <c r="E31" s="47"/>
      <c r="F31" s="47"/>
    </row>
    <row r="32" hidden="1" customHeight="1" spans="1:1">
      <c r="A32" s="43" t="s">
        <v>25</v>
      </c>
    </row>
    <row r="33" hidden="1" customHeight="1" spans="1:1">
      <c r="A33" s="43" t="s">
        <v>26</v>
      </c>
    </row>
    <row r="34" hidden="1" customHeight="1" spans="1:1">
      <c r="A34" s="43" t="s">
        <v>27</v>
      </c>
    </row>
    <row r="35" hidden="1" customHeight="1" spans="1:1">
      <c r="A35" s="43" t="s">
        <v>28</v>
      </c>
    </row>
    <row r="36" hidden="1" customHeight="1" spans="1:1">
      <c r="A36" s="43" t="s">
        <v>29</v>
      </c>
    </row>
    <row r="37" customHeight="1" spans="1:1">
      <c r="A37" s="43"/>
    </row>
    <row r="38" s="31" customFormat="1" customHeight="1" spans="1:9">
      <c r="A38" s="38" t="s">
        <v>30</v>
      </c>
      <c r="B38" s="44"/>
      <c r="C38" s="44"/>
      <c r="D38" s="44"/>
      <c r="E38" s="44"/>
      <c r="F38" s="44"/>
      <c r="H38" s="36"/>
      <c r="I38" s="48"/>
    </row>
    <row r="39" customHeight="1" spans="1:1">
      <c r="A39" s="41"/>
    </row>
    <row r="40" customHeight="1" spans="1:6">
      <c r="A40" s="41" t="s">
        <v>31</v>
      </c>
      <c r="B40" s="47"/>
      <c r="C40" s="47"/>
      <c r="D40" s="47"/>
      <c r="E40" s="47"/>
      <c r="F40" s="47"/>
    </row>
    <row r="41" customHeight="1" spans="1:1">
      <c r="A41" s="43" t="s">
        <v>32</v>
      </c>
    </row>
    <row r="42" hidden="1" customHeight="1" spans="1:1">
      <c r="A42" s="43" t="s">
        <v>33</v>
      </c>
    </row>
    <row r="43" hidden="1" customHeight="1" spans="1:1">
      <c r="A43" s="43" t="s">
        <v>34</v>
      </c>
    </row>
    <row r="44" hidden="1" customHeight="1" spans="1:1">
      <c r="A44" s="43" t="s">
        <v>35</v>
      </c>
    </row>
    <row r="45" hidden="1" customHeight="1" spans="1:1">
      <c r="A45" s="43" t="s">
        <v>36</v>
      </c>
    </row>
    <row r="46" hidden="1" customHeight="1" spans="1:1">
      <c r="A46" s="43" t="s">
        <v>37</v>
      </c>
    </row>
    <row r="47" hidden="1" customHeight="1" spans="1:1">
      <c r="A47" s="43" t="s">
        <v>38</v>
      </c>
    </row>
    <row r="48" customHeight="1" spans="1:1">
      <c r="A48" s="43"/>
    </row>
    <row r="49" customHeight="1" spans="1:6">
      <c r="A49" s="41" t="s">
        <v>39</v>
      </c>
      <c r="B49" s="34">
        <f>SUM(B50,B53,B56)</f>
        <v>0</v>
      </c>
      <c r="C49" s="34">
        <f>SUM(C50,C53,C56)</f>
        <v>0</v>
      </c>
      <c r="D49" s="34">
        <f>SUM(D50,D53,D56)</f>
        <v>0</v>
      </c>
      <c r="E49" s="34">
        <f>SUM(E50,E53,E56)</f>
        <v>0</v>
      </c>
      <c r="F49" s="34">
        <f>SUM(F50,F53,F56)</f>
        <v>0</v>
      </c>
    </row>
    <row r="50" hidden="1" customHeight="1" spans="1:6">
      <c r="A50" s="43" t="s">
        <v>40</v>
      </c>
      <c r="B50" s="34">
        <f>SUM(B51:B52)</f>
        <v>0</v>
      </c>
      <c r="C50" s="34">
        <f>SUM(C51:C52)</f>
        <v>0</v>
      </c>
      <c r="D50" s="34">
        <f>SUM(D51:D52)</f>
        <v>0</v>
      </c>
      <c r="E50" s="34">
        <f>SUM(E51:E52)</f>
        <v>0</v>
      </c>
      <c r="F50" s="34">
        <f>SUM(F51:F52)</f>
        <v>0</v>
      </c>
    </row>
    <row r="51" hidden="1" customHeight="1" spans="1:6">
      <c r="A51" s="43" t="s">
        <v>41</v>
      </c>
      <c r="B51" s="47"/>
      <c r="C51" s="47"/>
      <c r="D51" s="47"/>
      <c r="E51" s="47"/>
      <c r="F51" s="47"/>
    </row>
    <row r="52" hidden="1" customHeight="1" spans="1:6">
      <c r="A52" s="43" t="s">
        <v>42</v>
      </c>
      <c r="B52" s="47"/>
      <c r="C52" s="47"/>
      <c r="D52" s="47"/>
      <c r="E52" s="47"/>
      <c r="F52" s="47"/>
    </row>
    <row r="53" hidden="1" customHeight="1" spans="1:6">
      <c r="A53" s="43" t="s">
        <v>43</v>
      </c>
      <c r="B53" s="34">
        <f>SUM(B54:B55)</f>
        <v>0</v>
      </c>
      <c r="C53" s="34">
        <f>SUM(C54:C55)</f>
        <v>0</v>
      </c>
      <c r="D53" s="34">
        <f>SUM(D54:D55)</f>
        <v>0</v>
      </c>
      <c r="E53" s="34">
        <f>SUM(E54:E55)</f>
        <v>0</v>
      </c>
      <c r="F53" s="34">
        <f>SUM(F54:F55)</f>
        <v>0</v>
      </c>
    </row>
    <row r="54" hidden="1" customHeight="1" spans="1:6">
      <c r="A54" s="43" t="s">
        <v>41</v>
      </c>
      <c r="B54" s="47"/>
      <c r="C54" s="47"/>
      <c r="D54" s="47"/>
      <c r="E54" s="47"/>
      <c r="F54" s="47"/>
    </row>
    <row r="55" hidden="1" customHeight="1" spans="1:6">
      <c r="A55" s="43" t="s">
        <v>42</v>
      </c>
      <c r="B55" s="47"/>
      <c r="C55" s="47"/>
      <c r="D55" s="47"/>
      <c r="E55" s="47"/>
      <c r="F55" s="47"/>
    </row>
    <row r="56" hidden="1" customHeight="1" spans="1:6">
      <c r="A56" s="43" t="s">
        <v>44</v>
      </c>
      <c r="B56" s="34">
        <f>SUM(B57:B58)</f>
        <v>0</v>
      </c>
      <c r="C56" s="34">
        <f>SUM(C57:C58)</f>
        <v>0</v>
      </c>
      <c r="D56" s="34">
        <f>SUM(D57:D58)</f>
        <v>0</v>
      </c>
      <c r="E56" s="34">
        <f>SUM(E57:E58)</f>
        <v>0</v>
      </c>
      <c r="F56" s="34">
        <f>SUM(F57:F58)</f>
        <v>0</v>
      </c>
    </row>
    <row r="57" hidden="1" customHeight="1" spans="1:6">
      <c r="A57" s="43" t="s">
        <v>41</v>
      </c>
      <c r="B57" s="47"/>
      <c r="C57" s="47"/>
      <c r="D57" s="47"/>
      <c r="E57" s="47"/>
      <c r="F57" s="47"/>
    </row>
    <row r="58" hidden="1" customHeight="1" spans="1:6">
      <c r="A58" s="43" t="s">
        <v>42</v>
      </c>
      <c r="B58" s="47"/>
      <c r="C58" s="47"/>
      <c r="D58" s="47"/>
      <c r="E58" s="47"/>
      <c r="F58" s="47"/>
    </row>
    <row r="59" customHeight="1" spans="1:1">
      <c r="A59" s="43"/>
    </row>
    <row r="60" customHeight="1" spans="1:6">
      <c r="A60" s="41" t="s">
        <v>45</v>
      </c>
      <c r="B60" s="34">
        <f>SUM(B61:B62)</f>
        <v>0</v>
      </c>
      <c r="C60" s="34">
        <f>SUM(C61:C62)</f>
        <v>0</v>
      </c>
      <c r="D60" s="34">
        <f>SUM(D61:D62)</f>
        <v>0</v>
      </c>
      <c r="E60" s="34">
        <f>SUM(E61:E62)</f>
        <v>0</v>
      </c>
      <c r="F60" s="34">
        <f>SUM(F61:F62)</f>
        <v>0</v>
      </c>
    </row>
    <row r="61" hidden="1" customHeight="1" spans="1:6">
      <c r="A61" s="43" t="s">
        <v>41</v>
      </c>
      <c r="B61" s="47"/>
      <c r="C61" s="47"/>
      <c r="D61" s="47"/>
      <c r="E61" s="47"/>
      <c r="F61" s="47"/>
    </row>
    <row r="62" hidden="1" customHeight="1" spans="1:6">
      <c r="A62" s="43" t="s">
        <v>42</v>
      </c>
      <c r="B62" s="47"/>
      <c r="C62" s="47"/>
      <c r="D62" s="47"/>
      <c r="E62" s="47"/>
      <c r="F62" s="47"/>
    </row>
    <row r="63" customHeight="1" spans="1:1">
      <c r="A63" s="43"/>
    </row>
    <row r="64" customHeight="1" spans="1:6">
      <c r="A64" s="41" t="s">
        <v>46</v>
      </c>
      <c r="B64" s="47"/>
      <c r="C64" s="47"/>
      <c r="D64" s="47"/>
      <c r="E64" s="47"/>
      <c r="F64" s="47"/>
    </row>
    <row r="65" hidden="1" customHeight="1" spans="1:6">
      <c r="A65" s="43" t="s">
        <v>47</v>
      </c>
      <c r="B65" s="47"/>
      <c r="C65" s="47"/>
      <c r="D65" s="47"/>
      <c r="E65" s="47"/>
      <c r="F65" s="47"/>
    </row>
    <row r="66" hidden="1" customHeight="1" spans="1:6">
      <c r="A66" s="43" t="s">
        <v>48</v>
      </c>
      <c r="B66" s="47"/>
      <c r="C66" s="47"/>
      <c r="D66" s="47"/>
      <c r="E66" s="47"/>
      <c r="F66" s="47"/>
    </row>
    <row r="67" customHeight="1" spans="1:1">
      <c r="A67" s="43"/>
    </row>
    <row r="68" customHeight="1" spans="1:6">
      <c r="A68" s="41" t="s">
        <v>49</v>
      </c>
      <c r="B68" s="47"/>
      <c r="C68" s="47"/>
      <c r="D68" s="47"/>
      <c r="E68" s="47"/>
      <c r="F68" s="47"/>
    </row>
    <row r="69" hidden="1" customHeight="1" spans="1:1">
      <c r="A69" s="43" t="s">
        <v>50</v>
      </c>
    </row>
    <row r="70" hidden="1" customHeight="1" spans="1:1">
      <c r="A70" s="43" t="s">
        <v>51</v>
      </c>
    </row>
    <row r="71" hidden="1" customHeight="1" spans="1:1">
      <c r="A71" s="43" t="s">
        <v>52</v>
      </c>
    </row>
    <row r="72" hidden="1" customHeight="1" spans="1:1">
      <c r="A72" s="43" t="s">
        <v>53</v>
      </c>
    </row>
    <row r="73" hidden="1" customHeight="1" spans="1:1">
      <c r="A73" s="43" t="s">
        <v>54</v>
      </c>
    </row>
    <row r="74" customHeight="1" spans="1:1">
      <c r="A74" s="43"/>
    </row>
    <row r="75" customHeight="1" spans="1:6">
      <c r="A75" s="41" t="s">
        <v>55</v>
      </c>
      <c r="B75" s="47"/>
      <c r="C75" s="47"/>
      <c r="D75" s="47"/>
      <c r="E75" s="47"/>
      <c r="F75" s="47"/>
    </row>
    <row r="76" hidden="1" customHeight="1" spans="1:1">
      <c r="A76" s="43" t="s">
        <v>56</v>
      </c>
    </row>
    <row r="77" hidden="1" customHeight="1" spans="1:1">
      <c r="A77" s="43" t="s">
        <v>57</v>
      </c>
    </row>
    <row r="78" hidden="1" customHeight="1" spans="1:1">
      <c r="A78" s="43" t="s">
        <v>58</v>
      </c>
    </row>
    <row r="79" hidden="1" customHeight="1" spans="1:1">
      <c r="A79" s="43" t="s">
        <v>59</v>
      </c>
    </row>
    <row r="80" customHeight="1" spans="1:1">
      <c r="A80" s="41"/>
    </row>
    <row r="81" s="31" customFormat="1" customHeight="1" spans="1:9">
      <c r="A81" s="38" t="s">
        <v>60</v>
      </c>
      <c r="B81" s="48">
        <f>SUM(B6,B38)</f>
        <v>0</v>
      </c>
      <c r="C81" s="48">
        <f>SUM(C6,C38)</f>
        <v>0</v>
      </c>
      <c r="D81" s="48">
        <f>SUM(D6,D38)</f>
        <v>0</v>
      </c>
      <c r="E81" s="48">
        <f>SUM(E6,E38)</f>
        <v>0</v>
      </c>
      <c r="F81" s="48">
        <f>SUM(F6,F38)</f>
        <v>0</v>
      </c>
      <c r="H81" s="36"/>
      <c r="I81" s="48"/>
    </row>
    <row r="82" customHeight="1" spans="1:1">
      <c r="A82" s="38"/>
    </row>
    <row r="83" s="31" customFormat="1" customHeight="1" spans="1:9">
      <c r="A83" s="38" t="s">
        <v>61</v>
      </c>
      <c r="B83" s="48">
        <f>SUM(B85,B101)</f>
        <v>0</v>
      </c>
      <c r="C83" s="48">
        <f>SUM(C85,C101)</f>
        <v>0</v>
      </c>
      <c r="D83" s="48">
        <f>SUM(D85,D101)</f>
        <v>0</v>
      </c>
      <c r="E83" s="48">
        <f>SUM(E85,E101)</f>
        <v>0</v>
      </c>
      <c r="F83" s="48">
        <f>SUM(F85,F101)</f>
        <v>0</v>
      </c>
      <c r="H83" s="36"/>
      <c r="I83" s="48"/>
    </row>
    <row r="84" customHeight="1" spans="1:1">
      <c r="A84" s="43"/>
    </row>
    <row r="85" s="31" customFormat="1" customHeight="1" spans="1:9">
      <c r="A85" s="41" t="s">
        <v>62</v>
      </c>
      <c r="B85" s="44"/>
      <c r="C85" s="44"/>
      <c r="D85" s="44"/>
      <c r="E85" s="44"/>
      <c r="F85" s="44"/>
      <c r="H85" s="36"/>
      <c r="I85" s="48"/>
    </row>
    <row r="86" customHeight="1" spans="1:6">
      <c r="A86" s="43" t="s">
        <v>63</v>
      </c>
      <c r="B86" s="45"/>
      <c r="C86" s="45"/>
      <c r="D86" s="45"/>
      <c r="E86" s="45"/>
      <c r="F86" s="45"/>
    </row>
    <row r="87" hidden="1" customHeight="1" spans="1:1">
      <c r="A87" s="43" t="s">
        <v>64</v>
      </c>
    </row>
    <row r="88" hidden="1" customHeight="1" spans="1:1">
      <c r="A88" s="43" t="s">
        <v>65</v>
      </c>
    </row>
    <row r="89" hidden="1" customHeight="1" spans="1:1">
      <c r="A89" s="43" t="s">
        <v>66</v>
      </c>
    </row>
    <row r="90" hidden="1" customHeight="1" spans="1:1">
      <c r="A90" s="43" t="s">
        <v>67</v>
      </c>
    </row>
    <row r="91" hidden="1" customHeight="1" spans="1:1">
      <c r="A91" s="43" t="s">
        <v>68</v>
      </c>
    </row>
    <row r="92" hidden="1" customHeight="1" spans="1:1">
      <c r="A92" s="43" t="s">
        <v>69</v>
      </c>
    </row>
    <row r="93" hidden="1" customHeight="1" spans="1:1">
      <c r="A93" s="46" t="s">
        <v>70</v>
      </c>
    </row>
    <row r="94" hidden="1" customHeight="1" spans="1:1">
      <c r="A94" s="43" t="s">
        <v>71</v>
      </c>
    </row>
    <row r="95" customHeight="1" spans="1:1">
      <c r="A95" s="43" t="s">
        <v>72</v>
      </c>
    </row>
    <row r="96" hidden="1" customHeight="1" spans="1:1">
      <c r="A96" s="43" t="s">
        <v>73</v>
      </c>
    </row>
    <row r="97" hidden="1" customHeight="1" spans="1:1">
      <c r="A97" s="43" t="s">
        <v>74</v>
      </c>
    </row>
    <row r="98" hidden="1" customHeight="1" spans="1:1">
      <c r="A98" s="43" t="s">
        <v>75</v>
      </c>
    </row>
    <row r="99" hidden="1" customHeight="1" spans="1:1">
      <c r="A99" s="43" t="s">
        <v>76</v>
      </c>
    </row>
    <row r="100" customHeight="1" spans="1:1">
      <c r="A100" s="43"/>
    </row>
    <row r="101" s="31" customFormat="1" customHeight="1" spans="1:9">
      <c r="A101" s="41" t="s">
        <v>77</v>
      </c>
      <c r="B101" s="44"/>
      <c r="C101" s="44"/>
      <c r="D101" s="44"/>
      <c r="E101" s="44"/>
      <c r="F101" s="44"/>
      <c r="H101" s="36"/>
      <c r="I101" s="48"/>
    </row>
    <row r="102" hidden="1" customHeight="1" spans="1:1">
      <c r="A102" s="43" t="s">
        <v>78</v>
      </c>
    </row>
    <row r="103" hidden="1" customHeight="1" spans="1:1">
      <c r="A103" s="43" t="s">
        <v>79</v>
      </c>
    </row>
    <row r="104" hidden="1" customHeight="1" spans="1:1">
      <c r="A104" s="43" t="s">
        <v>80</v>
      </c>
    </row>
    <row r="105" hidden="1" customHeight="1" spans="1:1">
      <c r="A105" s="43" t="s">
        <v>81</v>
      </c>
    </row>
    <row r="106" hidden="1" customHeight="1" spans="1:1">
      <c r="A106" s="43" t="s">
        <v>82</v>
      </c>
    </row>
    <row r="107" hidden="1" customHeight="1" spans="1:1">
      <c r="A107" s="43" t="s">
        <v>83</v>
      </c>
    </row>
    <row r="108" hidden="1" customHeight="1" spans="1:1">
      <c r="A108" s="43" t="s">
        <v>84</v>
      </c>
    </row>
    <row r="109" customHeight="1" spans="1:1">
      <c r="A109" s="43" t="s">
        <v>85</v>
      </c>
    </row>
    <row r="110" hidden="1" customHeight="1" spans="1:1">
      <c r="A110" s="43" t="s">
        <v>86</v>
      </c>
    </row>
    <row r="111" hidden="1" customHeight="1" spans="1:1">
      <c r="A111" s="43" t="s">
        <v>87</v>
      </c>
    </row>
    <row r="112" hidden="1" customHeight="1" spans="1:1">
      <c r="A112" s="43" t="s">
        <v>88</v>
      </c>
    </row>
    <row r="113" hidden="1" customHeight="1" spans="1:1">
      <c r="A113" s="43" t="s">
        <v>89</v>
      </c>
    </row>
    <row r="114" hidden="1" customHeight="1" spans="1:1">
      <c r="A114" s="43" t="s">
        <v>90</v>
      </c>
    </row>
    <row r="115" customHeight="1" spans="1:1">
      <c r="A115" s="43"/>
    </row>
    <row r="116" s="31" customFormat="1" customHeight="1" spans="1:9">
      <c r="A116" s="38" t="s">
        <v>91</v>
      </c>
      <c r="B116" s="44"/>
      <c r="C116" s="44"/>
      <c r="D116" s="44"/>
      <c r="E116" s="44"/>
      <c r="F116" s="44"/>
      <c r="H116" s="36"/>
      <c r="I116" s="48"/>
    </row>
    <row r="117" customHeight="1" spans="1:1">
      <c r="A117" s="43"/>
    </row>
    <row r="118" customHeight="1" spans="1:6">
      <c r="A118" s="41" t="s">
        <v>92</v>
      </c>
      <c r="B118" s="47"/>
      <c r="C118" s="47"/>
      <c r="D118" s="47"/>
      <c r="E118" s="47"/>
      <c r="F118" s="47"/>
    </row>
    <row r="119" hidden="1" customHeight="1" spans="1:1">
      <c r="A119" s="43" t="s">
        <v>93</v>
      </c>
    </row>
    <row r="120" hidden="1" customHeight="1" spans="1:1">
      <c r="A120" s="43" t="s">
        <v>94</v>
      </c>
    </row>
    <row r="121" hidden="1" customHeight="1" spans="1:1">
      <c r="A121" s="43" t="s">
        <v>95</v>
      </c>
    </row>
    <row r="122" hidden="1" customHeight="1" spans="1:1">
      <c r="A122" s="43" t="s">
        <v>96</v>
      </c>
    </row>
    <row r="123" hidden="1" customHeight="1" spans="1:1">
      <c r="A123" s="43" t="s">
        <v>97</v>
      </c>
    </row>
    <row r="124" hidden="1" customHeight="1" spans="1:1">
      <c r="A124" s="43" t="s">
        <v>98</v>
      </c>
    </row>
    <row r="125" hidden="1" customHeight="1" spans="1:1">
      <c r="A125" s="43" t="s">
        <v>99</v>
      </c>
    </row>
    <row r="126" hidden="1" customHeight="1" spans="1:1">
      <c r="A126" s="43" t="s">
        <v>100</v>
      </c>
    </row>
    <row r="127" hidden="1" customHeight="1" spans="1:1">
      <c r="A127" s="43" t="s">
        <v>101</v>
      </c>
    </row>
    <row r="128" hidden="1" customHeight="1" spans="1:1">
      <c r="A128" s="43" t="s">
        <v>102</v>
      </c>
    </row>
    <row r="129" hidden="1" customHeight="1" spans="1:6">
      <c r="A129" s="43" t="s">
        <v>103</v>
      </c>
      <c r="B129" s="47"/>
      <c r="C129" s="47"/>
      <c r="D129" s="47"/>
      <c r="E129" s="47"/>
      <c r="F129" s="47"/>
    </row>
    <row r="130" hidden="1" customHeight="1" spans="1:1">
      <c r="A130" s="51" t="s">
        <v>104</v>
      </c>
    </row>
    <row r="131" hidden="1" customHeight="1" spans="1:1">
      <c r="A131" s="51" t="s">
        <v>105</v>
      </c>
    </row>
    <row r="132" hidden="1" customHeight="1" spans="1:1">
      <c r="A132" s="43" t="s">
        <v>106</v>
      </c>
    </row>
    <row r="133" hidden="1" customHeight="1" spans="1:1">
      <c r="A133" s="43" t="s">
        <v>107</v>
      </c>
    </row>
    <row r="134" customHeight="1" spans="1:1">
      <c r="A134" s="43"/>
    </row>
    <row r="135" customHeight="1" spans="1:1">
      <c r="A135" s="41" t="s">
        <v>108</v>
      </c>
    </row>
    <row r="136" hidden="1" customHeight="1" spans="1:1">
      <c r="A136" s="43" t="s">
        <v>109</v>
      </c>
    </row>
    <row r="137" hidden="1" customHeight="1" spans="1:1">
      <c r="A137" s="43" t="s">
        <v>110</v>
      </c>
    </row>
    <row r="139" s="31" customFormat="1" customHeight="1" spans="1:9">
      <c r="A139" s="38" t="s">
        <v>111</v>
      </c>
      <c r="B139" s="48">
        <f>SUM(B83,B116)</f>
        <v>0</v>
      </c>
      <c r="C139" s="48">
        <f>SUM(C83,C116)</f>
        <v>0</v>
      </c>
      <c r="D139" s="48">
        <f>SUM(D83,D116)</f>
        <v>0</v>
      </c>
      <c r="E139" s="48">
        <f>SUM(E83,E116)</f>
        <v>0</v>
      </c>
      <c r="F139" s="48">
        <f>SUM(F83,F116)</f>
        <v>0</v>
      </c>
      <c r="H139" s="36"/>
      <c r="I139" s="48"/>
    </row>
    <row r="141" ht="50" customHeight="1" spans="1:6">
      <c r="A141" s="31" t="s">
        <v>112</v>
      </c>
      <c r="B141" s="52"/>
      <c r="C141" s="52"/>
      <c r="D141" s="52"/>
      <c r="E141" s="52"/>
      <c r="F141" s="52"/>
    </row>
    <row r="142" customHeight="1" spans="1:6">
      <c r="A142" s="33" t="s">
        <v>113</v>
      </c>
      <c r="B142" s="45"/>
      <c r="C142" s="45"/>
      <c r="D142" s="45"/>
      <c r="E142" s="45"/>
      <c r="F142" s="45"/>
    </row>
    <row r="143" customHeight="1" spans="1:6">
      <c r="A143" s="33" t="s">
        <v>114</v>
      </c>
      <c r="B143" s="47"/>
      <c r="C143" s="47"/>
      <c r="D143" s="47"/>
      <c r="E143" s="47"/>
      <c r="F143" s="47"/>
    </row>
    <row r="144" s="31" customFormat="1" customHeight="1" spans="1:9">
      <c r="A144" s="36" t="s">
        <v>115</v>
      </c>
      <c r="B144" s="44"/>
      <c r="C144" s="44"/>
      <c r="D144" s="44"/>
      <c r="E144" s="44"/>
      <c r="F144" s="44"/>
      <c r="H144" s="36"/>
      <c r="I144" s="48"/>
    </row>
    <row r="145" customHeight="1" spans="1:6">
      <c r="A145" s="33" t="s">
        <v>116</v>
      </c>
      <c r="B145" s="47">
        <f>B144-B146</f>
        <v>0</v>
      </c>
      <c r="C145" s="47">
        <f>C144-C146</f>
        <v>0</v>
      </c>
      <c r="D145" s="47">
        <f>D144-D146</f>
        <v>0</v>
      </c>
      <c r="E145" s="47">
        <f>E144-E146</f>
        <v>0</v>
      </c>
      <c r="F145" s="47">
        <f>F144-F146</f>
        <v>0</v>
      </c>
    </row>
    <row r="146" customHeight="1" spans="1:6">
      <c r="A146" s="33" t="s">
        <v>117</v>
      </c>
      <c r="B146" s="45"/>
      <c r="C146" s="45"/>
      <c r="D146" s="45"/>
      <c r="E146" s="45"/>
      <c r="F146" s="45"/>
    </row>
    <row r="147" customHeight="1" spans="1:6">
      <c r="A147" s="33" t="s">
        <v>118</v>
      </c>
      <c r="B147" s="47"/>
      <c r="C147" s="47"/>
      <c r="D147" s="47"/>
      <c r="E147" s="47"/>
      <c r="F147" s="47"/>
    </row>
    <row r="148" customHeight="1" spans="1:6">
      <c r="A148" s="33" t="s">
        <v>119</v>
      </c>
      <c r="B148" s="47"/>
      <c r="C148" s="47"/>
      <c r="D148" s="47"/>
      <c r="E148" s="47"/>
      <c r="F148" s="47"/>
    </row>
    <row r="149" customHeight="1" spans="1:6">
      <c r="A149" s="33" t="s">
        <v>120</v>
      </c>
      <c r="B149" s="45"/>
      <c r="C149" s="45"/>
      <c r="D149" s="45"/>
      <c r="E149" s="45"/>
      <c r="F149" s="45"/>
    </row>
    <row r="150" customHeight="1" spans="1:6">
      <c r="A150" s="33" t="s">
        <v>121</v>
      </c>
      <c r="B150" s="47"/>
      <c r="C150" s="47"/>
      <c r="D150" s="47"/>
      <c r="E150" s="47"/>
      <c r="F150" s="47"/>
    </row>
    <row r="151" customHeight="1" spans="1:6">
      <c r="A151" s="33" t="s">
        <v>122</v>
      </c>
      <c r="B151" s="47"/>
      <c r="C151" s="47"/>
      <c r="D151" s="47"/>
      <c r="E151" s="47"/>
      <c r="F151" s="47"/>
    </row>
    <row r="152" customHeight="1" spans="1:6">
      <c r="A152" s="33" t="s">
        <v>123</v>
      </c>
      <c r="B152" s="45"/>
      <c r="C152" s="45"/>
      <c r="D152" s="45"/>
      <c r="E152" s="45"/>
      <c r="F152" s="45"/>
    </row>
    <row r="153" customHeight="1" spans="1:6">
      <c r="A153" s="33" t="s">
        <v>124</v>
      </c>
      <c r="B153" s="47"/>
      <c r="C153" s="47"/>
      <c r="D153" s="47"/>
      <c r="E153" s="47"/>
      <c r="F153" s="47"/>
    </row>
    <row r="154" customHeight="1" spans="1:6">
      <c r="A154" s="33" t="s">
        <v>125</v>
      </c>
      <c r="B154" s="47"/>
      <c r="C154" s="47"/>
      <c r="D154" s="47"/>
      <c r="E154" s="47"/>
      <c r="F154" s="47"/>
    </row>
    <row r="155" customHeight="1" spans="1:6">
      <c r="A155" s="33" t="s">
        <v>126</v>
      </c>
      <c r="B155" s="45"/>
      <c r="C155" s="45"/>
      <c r="D155" s="45"/>
      <c r="E155" s="45"/>
      <c r="F155" s="45"/>
    </row>
    <row r="156" customHeight="1" spans="1:6">
      <c r="A156" s="33" t="s">
        <v>127</v>
      </c>
      <c r="B156" s="47">
        <f>B152+B155</f>
        <v>0</v>
      </c>
      <c r="C156" s="47">
        <f>C152+C155</f>
        <v>0</v>
      </c>
      <c r="D156" s="47">
        <f>D152+D155</f>
        <v>0</v>
      </c>
      <c r="E156" s="47">
        <f>E152+E155</f>
        <v>0</v>
      </c>
      <c r="F156" s="47">
        <f>F152+F155</f>
        <v>0</v>
      </c>
    </row>
    <row r="157" customHeight="1" spans="1:6">
      <c r="A157" s="33" t="s">
        <v>128</v>
      </c>
      <c r="B157" s="47">
        <f>B156-B158</f>
        <v>0</v>
      </c>
      <c r="C157" s="47">
        <f>C156-C158</f>
        <v>0</v>
      </c>
      <c r="D157" s="47">
        <f>D156-D158</f>
        <v>0</v>
      </c>
      <c r="E157" s="47">
        <f>E156-E158</f>
        <v>0</v>
      </c>
      <c r="F157" s="47">
        <f>F156-F158</f>
        <v>0</v>
      </c>
    </row>
    <row r="158" s="31" customFormat="1" customHeight="1" spans="1:9">
      <c r="A158" s="36" t="s">
        <v>129</v>
      </c>
      <c r="B158" s="44"/>
      <c r="C158" s="44"/>
      <c r="D158" s="44"/>
      <c r="E158" s="44"/>
      <c r="F158" s="44"/>
      <c r="H158" s="36"/>
      <c r="I158" s="48"/>
    </row>
    <row r="159" customHeight="1" spans="1:6">
      <c r="A159" s="33" t="s">
        <v>130</v>
      </c>
      <c r="B159" s="45"/>
      <c r="C159" s="45"/>
      <c r="D159" s="45"/>
      <c r="E159" s="45"/>
      <c r="F159" s="45"/>
    </row>
    <row r="160" customHeight="1" spans="2:6">
      <c r="B160" s="47"/>
      <c r="C160" s="47"/>
      <c r="D160" s="47"/>
      <c r="E160" s="47"/>
      <c r="F160" s="47"/>
    </row>
    <row r="161" ht="50" customHeight="1" spans="1:6">
      <c r="A161" s="31" t="s">
        <v>131</v>
      </c>
      <c r="B161" s="52"/>
      <c r="C161" s="52"/>
      <c r="D161" s="52"/>
      <c r="E161" s="52"/>
      <c r="F161" s="52"/>
    </row>
    <row r="163" customHeight="1" spans="1:1">
      <c r="A163" s="36" t="s">
        <v>132</v>
      </c>
    </row>
    <row r="164" customHeight="1" spans="1:1">
      <c r="A164" s="33" t="s">
        <v>133</v>
      </c>
    </row>
    <row r="165" customHeight="1" spans="1:1">
      <c r="A165" s="33" t="s">
        <v>134</v>
      </c>
    </row>
    <row r="166" customHeight="1" spans="1:1">
      <c r="A166" s="33" t="s">
        <v>135</v>
      </c>
    </row>
    <row r="167" customHeight="1" spans="1:1">
      <c r="A167" s="33" t="s">
        <v>136</v>
      </c>
    </row>
    <row r="168" customHeight="1" spans="1:1">
      <c r="A168" s="33" t="s">
        <v>137</v>
      </c>
    </row>
    <row r="169" customHeight="1" spans="1:1">
      <c r="A169" s="33" t="s">
        <v>138</v>
      </c>
    </row>
    <row r="170" customHeight="1" spans="1:1">
      <c r="A170" s="33" t="s">
        <v>139</v>
      </c>
    </row>
    <row r="171" s="31" customFormat="1" customHeight="1" spans="1:9">
      <c r="A171" s="53" t="s">
        <v>140</v>
      </c>
      <c r="B171" s="44"/>
      <c r="C171" s="44"/>
      <c r="D171" s="44"/>
      <c r="E171" s="44"/>
      <c r="F171" s="44"/>
      <c r="H171" s="36"/>
      <c r="I171" s="48"/>
    </row>
    <row r="172" customHeight="1" spans="1:1">
      <c r="A172" s="36"/>
    </row>
    <row r="173" customHeight="1" spans="1:1">
      <c r="A173" s="36" t="s">
        <v>141</v>
      </c>
    </row>
    <row r="174" customHeight="1" spans="1:1">
      <c r="A174" s="33" t="s">
        <v>142</v>
      </c>
    </row>
    <row r="175" customHeight="1" spans="1:1">
      <c r="A175" s="33" t="s">
        <v>143</v>
      </c>
    </row>
    <row r="176" customHeight="1" spans="1:6">
      <c r="A176" s="33" t="s">
        <v>144</v>
      </c>
      <c r="B176" s="45"/>
      <c r="C176" s="45"/>
      <c r="D176" s="45"/>
      <c r="E176" s="45"/>
      <c r="F176" s="45"/>
    </row>
    <row r="177" customHeight="1" spans="1:1">
      <c r="A177" s="33" t="s">
        <v>145</v>
      </c>
    </row>
    <row r="178" customHeight="1" spans="1:1">
      <c r="A178" s="33" t="s">
        <v>146</v>
      </c>
    </row>
    <row r="179" customHeight="1" spans="1:1">
      <c r="A179" s="33" t="s">
        <v>147</v>
      </c>
    </row>
    <row r="180" customHeight="1" spans="1:1">
      <c r="A180" s="33" t="s">
        <v>120</v>
      </c>
    </row>
    <row r="181" customHeight="1" spans="1:1">
      <c r="A181" s="33" t="s">
        <v>148</v>
      </c>
    </row>
    <row r="182" customHeight="1" spans="1:1">
      <c r="A182" s="33" t="s">
        <v>149</v>
      </c>
    </row>
    <row r="183" customHeight="1" spans="1:1">
      <c r="A183" s="33" t="s">
        <v>150</v>
      </c>
    </row>
    <row r="184" customHeight="1" spans="1:1">
      <c r="A184" s="33" t="s">
        <v>151</v>
      </c>
    </row>
    <row r="185" customHeight="1" spans="1:1">
      <c r="A185" s="33" t="s">
        <v>152</v>
      </c>
    </row>
    <row r="186" customHeight="1" spans="1:1">
      <c r="A186" s="33" t="s">
        <v>153</v>
      </c>
    </row>
    <row r="187" customHeight="1" spans="1:1">
      <c r="A187" s="33" t="s">
        <v>154</v>
      </c>
    </row>
    <row r="188" customHeight="1" spans="1:1">
      <c r="A188" s="33" t="s">
        <v>155</v>
      </c>
    </row>
    <row r="189" customHeight="1" spans="1:1">
      <c r="A189" s="33" t="s">
        <v>156</v>
      </c>
    </row>
    <row r="190" customHeight="1" spans="1:1">
      <c r="A190" s="33" t="s">
        <v>157</v>
      </c>
    </row>
    <row r="191" customHeight="1" spans="1:1">
      <c r="A191" s="33" t="s">
        <v>158</v>
      </c>
    </row>
    <row r="192" s="31" customFormat="1" customHeight="1" spans="1:9">
      <c r="A192" s="53" t="s">
        <v>140</v>
      </c>
      <c r="B192" s="44"/>
      <c r="C192" s="44"/>
      <c r="D192" s="44"/>
      <c r="E192" s="44"/>
      <c r="F192" s="44"/>
      <c r="H192" s="36"/>
      <c r="I192" s="48"/>
    </row>
    <row r="194" customHeight="1" spans="1:1">
      <c r="A194" s="36" t="s">
        <v>159</v>
      </c>
    </row>
    <row r="195" customHeight="1" spans="1:6">
      <c r="A195" s="33" t="s">
        <v>160</v>
      </c>
      <c r="B195" s="45"/>
      <c r="C195" s="45"/>
      <c r="D195" s="45"/>
      <c r="E195" s="45"/>
      <c r="F195" s="45"/>
    </row>
    <row r="196" customHeight="1" spans="1:1">
      <c r="A196" s="33" t="s">
        <v>161</v>
      </c>
    </row>
    <row r="197" customHeight="1" spans="1:1">
      <c r="A197" s="33" t="s">
        <v>162</v>
      </c>
    </row>
    <row r="198" customHeight="1" spans="1:1">
      <c r="A198" s="33" t="s">
        <v>163</v>
      </c>
    </row>
    <row r="199" customHeight="1" spans="1:1">
      <c r="A199" s="33" t="s">
        <v>164</v>
      </c>
    </row>
    <row r="200" customHeight="1" spans="1:1">
      <c r="A200" s="33" t="s">
        <v>165</v>
      </c>
    </row>
    <row r="201" customHeight="1" spans="1:1">
      <c r="A201" s="33" t="s">
        <v>166</v>
      </c>
    </row>
    <row r="202" s="31" customFormat="1" customHeight="1" spans="1:9">
      <c r="A202" s="53" t="s">
        <v>167</v>
      </c>
      <c r="B202" s="44"/>
      <c r="C202" s="44"/>
      <c r="D202" s="44"/>
      <c r="E202" s="44"/>
      <c r="F202" s="44"/>
      <c r="H202" s="36"/>
      <c r="I202" s="48"/>
    </row>
    <row r="204" customHeight="1" spans="1:1">
      <c r="A204" s="36" t="s">
        <v>168</v>
      </c>
    </row>
    <row r="205" customHeight="1" spans="1:1">
      <c r="A205" s="33" t="s">
        <v>169</v>
      </c>
    </row>
    <row r="206" customHeight="1" spans="1:1">
      <c r="A206" s="33" t="s">
        <v>170</v>
      </c>
    </row>
    <row r="207" customHeight="1" spans="1:1">
      <c r="A207" s="33" t="s">
        <v>171</v>
      </c>
    </row>
    <row r="208" customHeight="1" spans="1:1">
      <c r="A208" s="33" t="s">
        <v>172</v>
      </c>
    </row>
    <row r="209" customHeight="1" spans="1:1">
      <c r="A209" s="33" t="s">
        <v>173</v>
      </c>
    </row>
    <row r="210" customHeight="1" spans="1:1">
      <c r="A210" s="33" t="s">
        <v>174</v>
      </c>
    </row>
    <row r="211" s="31" customFormat="1" customHeight="1" spans="1:9">
      <c r="A211" s="53" t="s">
        <v>175</v>
      </c>
      <c r="B211" s="44"/>
      <c r="C211" s="44"/>
      <c r="D211" s="44"/>
      <c r="E211" s="44"/>
      <c r="F211" s="44"/>
      <c r="H211" s="36"/>
      <c r="I211" s="48"/>
    </row>
    <row r="213" s="31" customFormat="1" customHeight="1" spans="1:9">
      <c r="A213" s="36" t="s">
        <v>176</v>
      </c>
      <c r="B213" s="48">
        <f>SUM(B171,B192,B202,B211)</f>
        <v>0</v>
      </c>
      <c r="C213" s="48">
        <f>SUM(C171,C192,C202,C211)</f>
        <v>0</v>
      </c>
      <c r="D213" s="48">
        <f>SUM(D171,D192,D202,D211)</f>
        <v>0</v>
      </c>
      <c r="E213" s="48">
        <f>SUM(E171,E192,E202,E211)</f>
        <v>0</v>
      </c>
      <c r="F213" s="48">
        <f>SUM(F171,F192,F202,F211)</f>
        <v>0</v>
      </c>
      <c r="H213" s="36"/>
      <c r="I213" s="48"/>
    </row>
    <row r="214" customHeight="1" spans="1:1">
      <c r="A214" s="36" t="s">
        <v>177</v>
      </c>
    </row>
    <row r="215" customHeight="1" spans="1:1">
      <c r="A215" s="33" t="s">
        <v>178</v>
      </c>
    </row>
    <row r="216" customHeight="1" spans="1:1">
      <c r="A216" s="36" t="s">
        <v>179</v>
      </c>
    </row>
    <row r="218" ht="50" customHeight="1" spans="1:6">
      <c r="A218" s="54" t="s">
        <v>180</v>
      </c>
      <c r="B218" s="55"/>
      <c r="C218" s="55"/>
      <c r="D218" s="55"/>
      <c r="E218" s="55"/>
      <c r="F218" s="55"/>
    </row>
    <row r="220" customHeight="1" spans="1:6">
      <c r="A220" s="36" t="s">
        <v>181</v>
      </c>
      <c r="B220" s="45"/>
      <c r="C220" s="45"/>
      <c r="D220" s="45"/>
      <c r="E220" s="45"/>
      <c r="F220" s="45"/>
    </row>
    <row r="221" customHeight="1" spans="1:6">
      <c r="A221" s="36" t="s">
        <v>182</v>
      </c>
      <c r="B221" s="45"/>
      <c r="C221" s="45"/>
      <c r="D221" s="45"/>
      <c r="E221" s="45"/>
      <c r="F221" s="45"/>
    </row>
  </sheetData>
  <mergeCells count="4">
    <mergeCell ref="A2:F2"/>
    <mergeCell ref="A141:F141"/>
    <mergeCell ref="A161:F161"/>
    <mergeCell ref="A218:F218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D17" sqref="D17"/>
    </sheetView>
  </sheetViews>
  <sheetFormatPr defaultColWidth="8.88888888888889" defaultRowHeight="15.6"/>
  <cols>
    <col min="1" max="1" width="8.88888888888889" style="27"/>
    <col min="2" max="2" width="14.1111111111111" style="28" customWidth="1"/>
    <col min="3" max="3" width="18.7777777777778" style="29" customWidth="1"/>
    <col min="4" max="6" width="20.6666666666667" style="29"/>
    <col min="7" max="7" width="19.2222222222222" style="29"/>
    <col min="8" max="16384" width="8.88888888888889" style="28"/>
  </cols>
  <sheetData>
    <row r="1" s="26" customFormat="1" spans="1:7">
      <c r="A1" s="26" t="s">
        <v>183</v>
      </c>
      <c r="C1" s="30">
        <v>2025</v>
      </c>
      <c r="D1" s="30">
        <v>2024</v>
      </c>
      <c r="E1" s="30">
        <v>2023</v>
      </c>
      <c r="F1" s="30">
        <v>2022</v>
      </c>
      <c r="G1" s="30">
        <v>2021</v>
      </c>
    </row>
    <row r="2" spans="1:7">
      <c r="A2" s="27">
        <v>1</v>
      </c>
      <c r="B2" s="28" t="s">
        <v>184</v>
      </c>
      <c r="C2" s="29">
        <f>DATA!B158+DATA!B149+SUM(DATA!B157:B157)</f>
        <v>0</v>
      </c>
      <c r="D2" s="29">
        <f>DATA!C158+DATA!C149+SUM(DATA!C157:C157)</f>
        <v>0</v>
      </c>
      <c r="E2" s="29">
        <f>DATA!D158+DATA!D149+SUM(DATA!D157:D157)</f>
        <v>0</v>
      </c>
      <c r="F2" s="29">
        <f>DATA!E158+DATA!E149+SUM(DATA!E157:E157)</f>
        <v>0</v>
      </c>
      <c r="G2" s="29">
        <f>DATA!F158+DATA!F149+SUM(DATA!F157:F157)</f>
        <v>0</v>
      </c>
    </row>
    <row r="3" spans="1:7">
      <c r="A3" s="27">
        <v>2</v>
      </c>
      <c r="B3" s="28" t="s">
        <v>185</v>
      </c>
      <c r="C3" s="29" t="str">
        <f>IF(DATA!B176="","",C2+DATA!B176)</f>
        <v/>
      </c>
      <c r="D3" s="29" t="str">
        <f>IF(DATA!C176="","",D2+DATA!C176)</f>
        <v/>
      </c>
      <c r="E3" s="29" t="str">
        <f>IF(DATA!D176="","",E2+DATA!D176)</f>
        <v/>
      </c>
      <c r="F3" s="29" t="str">
        <f>IF(DATA!E176="","",F2+DATA!E176)</f>
        <v/>
      </c>
      <c r="G3" s="29" t="str">
        <f>IF(DATA!F176="","",G2+DATA!F176)</f>
        <v/>
      </c>
    </row>
    <row r="4" spans="1:7">
      <c r="A4" s="27">
        <v>3</v>
      </c>
      <c r="B4" s="28" t="s">
        <v>186</v>
      </c>
      <c r="C4" s="29">
        <f>IFERROR(DATA!B157/DATA!B156,0)</f>
        <v>0</v>
      </c>
      <c r="D4" s="29">
        <f>IFERROR(DATA!C157/DATA!C156,0)</f>
        <v>0</v>
      </c>
      <c r="E4" s="29">
        <f>IFERROR(DATA!D157/DATA!D156,0)</f>
        <v>0</v>
      </c>
      <c r="F4" s="29">
        <f>IFERROR(DATA!E157/DATA!E156,0)</f>
        <v>0</v>
      </c>
      <c r="G4" s="29">
        <f>IFERROR(DATA!F157/DATA!F156,0)</f>
        <v>0</v>
      </c>
    </row>
    <row r="5" spans="1:7">
      <c r="A5" s="27">
        <v>4</v>
      </c>
      <c r="B5" s="28" t="s">
        <v>187</v>
      </c>
      <c r="C5" s="29">
        <f>IFERROR(C2*(1-C4),0)</f>
        <v>0</v>
      </c>
      <c r="D5" s="29">
        <f>IFERROR(D2*(1-D4),0)</f>
        <v>0</v>
      </c>
      <c r="E5" s="29">
        <f>IFERROR(E2*(1-E4),0)</f>
        <v>0</v>
      </c>
      <c r="F5" s="29">
        <f>IFERROR(F2*(1-F4),0)</f>
        <v>0</v>
      </c>
      <c r="G5" s="29">
        <f>IFERROR(G2*(1-G4),0)</f>
        <v>0</v>
      </c>
    </row>
    <row r="6" spans="1:7">
      <c r="A6" s="27">
        <v>5</v>
      </c>
      <c r="B6" s="28" t="s">
        <v>188</v>
      </c>
      <c r="C6" s="29">
        <f>IFERROR(DATA!B158/DATA!$I$4,0)</f>
        <v>0</v>
      </c>
      <c r="D6" s="29">
        <f>IFERROR(DATA!C158/DATA!$I$4,0)</f>
        <v>0</v>
      </c>
      <c r="E6" s="29">
        <f>IFERROR(DATA!D158/DATA!$I$4,0)</f>
        <v>0</v>
      </c>
      <c r="F6" s="29">
        <f>IFERROR(DATA!E158/DATA!$I$4,0)</f>
        <v>0</v>
      </c>
      <c r="G6" s="29">
        <f>IFERROR(DATA!F158/DATA!$I$4,0)</f>
        <v>0</v>
      </c>
    </row>
    <row r="7" spans="1:7">
      <c r="A7" s="27">
        <v>6</v>
      </c>
      <c r="B7" s="28" t="s">
        <v>189</v>
      </c>
      <c r="C7" s="29">
        <f>IFERROR(DATA!B116/DATA!$I$4,0)</f>
        <v>0</v>
      </c>
      <c r="D7" s="29">
        <f>IFERROR(DATA!C116/DATA!$I$4,0)</f>
        <v>0</v>
      </c>
      <c r="E7" s="29">
        <f>IFERROR(DATA!D116/DATA!$I$4,0)</f>
        <v>0</v>
      </c>
      <c r="F7" s="29">
        <f>IFERROR(DATA!E116/DATA!$I$4,0)</f>
        <v>0</v>
      </c>
      <c r="G7" s="29">
        <f>IFERROR(DATA!F116/DATA!$I$4,0)</f>
        <v>0</v>
      </c>
    </row>
    <row r="8" spans="1:7">
      <c r="A8" s="27">
        <v>7</v>
      </c>
      <c r="B8" s="28" t="s">
        <v>190</v>
      </c>
      <c r="C8" s="29">
        <f>IFERROR(DATA!$I$3*DATA!$I$4,0)</f>
        <v>0</v>
      </c>
      <c r="D8" s="29">
        <f>IFERROR(DATA!$I$3*DATA!$I$4,0)</f>
        <v>0</v>
      </c>
      <c r="E8" s="29">
        <f>IFERROR(DATA!$I$3*DATA!$I$4,0)</f>
        <v>0</v>
      </c>
      <c r="F8" s="29">
        <f>IFERROR(DATA!$I$3*DATA!$I$4,0)</f>
        <v>0</v>
      </c>
      <c r="G8" s="29">
        <f>IFERROR(DATA!$I$3*DATA!$I$4,0)</f>
        <v>0</v>
      </c>
    </row>
    <row r="9" spans="1:7">
      <c r="A9" s="27">
        <v>8</v>
      </c>
      <c r="B9" s="28" t="s">
        <v>191</v>
      </c>
      <c r="C9" s="29">
        <f>IFERROR(C8+DATA!B83-DATA!B8,0)</f>
        <v>0</v>
      </c>
      <c r="D9" s="29">
        <f>IFERROR(D8+DATA!C83-DATA!C8,0)</f>
        <v>0</v>
      </c>
      <c r="E9" s="29">
        <f>IFERROR(E8+DATA!D83-DATA!D8,0)</f>
        <v>0</v>
      </c>
      <c r="F9" s="29">
        <f>IFERROR(F8+DATA!E83-DATA!E8,0)</f>
        <v>0</v>
      </c>
      <c r="G9" s="29">
        <f>IFERROR(G8+DATA!F83-DATA!F8,0)</f>
        <v>0</v>
      </c>
    </row>
    <row r="10" spans="1:7">
      <c r="A10" s="27">
        <v>9</v>
      </c>
      <c r="B10" s="28" t="s">
        <v>192</v>
      </c>
      <c r="C10" s="29">
        <f>IFERROR(DATA!B192-DATA!B195,0)</f>
        <v>0</v>
      </c>
      <c r="D10" s="29">
        <f>IFERROR(DATA!C192-DATA!C195,0)</f>
        <v>0</v>
      </c>
      <c r="E10" s="29">
        <f>IFERROR(DATA!D192-DATA!D195,0)</f>
        <v>0</v>
      </c>
      <c r="F10" s="29">
        <f>IFERROR(DATA!E192-DATA!E195,0)</f>
        <v>0</v>
      </c>
      <c r="G10" s="29">
        <f>IFERROR(DATA!F192-DATA!F195,0)</f>
        <v>0</v>
      </c>
    </row>
    <row r="11" spans="1:9">
      <c r="A11" s="27">
        <v>10</v>
      </c>
      <c r="B11" s="28" t="s">
        <v>193</v>
      </c>
      <c r="C11" s="29">
        <f>DATA!B192-DATA!B182</f>
        <v>0</v>
      </c>
      <c r="D11" s="29">
        <f>DATA!C192-DATA!C182</f>
        <v>0</v>
      </c>
      <c r="E11" s="29">
        <f>DATA!D192-DATA!D182</f>
        <v>0</v>
      </c>
      <c r="F11" s="29">
        <f>DATA!E192-DATA!E182</f>
        <v>0</v>
      </c>
      <c r="G11" s="29">
        <f>DATA!F192-DATA!F182</f>
        <v>0</v>
      </c>
      <c r="I11" s="28" t="s">
        <v>194</v>
      </c>
    </row>
    <row r="12" spans="1:7">
      <c r="A12" s="27">
        <v>11</v>
      </c>
      <c r="B12" s="28" t="s">
        <v>195</v>
      </c>
      <c r="C12" s="29">
        <f>IFERROR(DATA!B221/DATA!I4,0)</f>
        <v>0</v>
      </c>
      <c r="D12" s="29">
        <f>IFERROR(DATA!C221/DATA!J4,0)</f>
        <v>0</v>
      </c>
      <c r="E12" s="29">
        <f>IFERROR(DATA!D221/DATA!K4,0)</f>
        <v>0</v>
      </c>
      <c r="F12" s="29">
        <f>IFERROR(DATA!E221/DATA!L4,0)</f>
        <v>0</v>
      </c>
      <c r="G12" s="29">
        <f>IFERROR(DATA!F221/DATA!M4,0)</f>
        <v>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zoomScale="115" zoomScaleNormal="115" workbookViewId="0">
      <pane ySplit="1" topLeftCell="A2" activePane="bottomLeft" state="frozen"/>
      <selection/>
      <selection pane="bottomLeft" activeCell="E30" sqref="E30"/>
    </sheetView>
  </sheetViews>
  <sheetFormatPr defaultColWidth="8.88888888888889" defaultRowHeight="20" customHeight="1"/>
  <cols>
    <col min="1" max="1" width="8.88888888888889" style="4"/>
    <col min="2" max="2" width="18.7777777777778" style="5" customWidth="1"/>
    <col min="3" max="3" width="29.7592592592593" style="5" customWidth="1"/>
    <col min="4" max="4" width="10.1481481481481" style="5" customWidth="1"/>
    <col min="5" max="9" width="10.7777777777778" style="6" customWidth="1"/>
    <col min="10" max="16384" width="8.88888888888889" style="5"/>
  </cols>
  <sheetData>
    <row r="1" s="1" customFormat="1" customHeight="1" spans="1:9">
      <c r="A1" s="1" t="s">
        <v>183</v>
      </c>
      <c r="D1" s="7"/>
      <c r="E1" s="8">
        <v>2025</v>
      </c>
      <c r="F1" s="8">
        <v>2024</v>
      </c>
      <c r="G1" s="8">
        <v>2023</v>
      </c>
      <c r="H1" s="8">
        <v>2022</v>
      </c>
      <c r="I1" s="8">
        <v>2021</v>
      </c>
    </row>
    <row r="2" s="2" customFormat="1" customHeight="1" spans="1:9">
      <c r="A2" s="9">
        <f>SUBTOTAL(3,$C$2:C2)</f>
        <v>1</v>
      </c>
      <c r="B2" s="10" t="s">
        <v>196</v>
      </c>
      <c r="C2" s="2" t="s">
        <v>197</v>
      </c>
      <c r="D2" s="2" t="s">
        <v>198</v>
      </c>
      <c r="E2" s="11">
        <f>IFERROR(DATA!B146/DATA!B144,0)</f>
        <v>0</v>
      </c>
      <c r="F2" s="11">
        <f>IFERROR(DATA!C146/DATA!C144,0)</f>
        <v>0</v>
      </c>
      <c r="G2" s="11">
        <f>IFERROR(DATA!D146/DATA!D144,0)</f>
        <v>0</v>
      </c>
      <c r="H2" s="11">
        <f>IFERROR(DATA!E146/DATA!E144,0)</f>
        <v>0</v>
      </c>
      <c r="I2" s="11">
        <f>IFERROR(DATA!F146/DATA!F144,0)</f>
        <v>0</v>
      </c>
    </row>
    <row r="3" customHeight="1" spans="1:9">
      <c r="A3" s="12">
        <f>SUBTOTAL(3,$C$2:C3)</f>
        <v>2</v>
      </c>
      <c r="B3" s="13"/>
      <c r="C3" s="5" t="s">
        <v>199</v>
      </c>
      <c r="D3" s="5" t="s">
        <v>200</v>
      </c>
      <c r="E3" s="14">
        <f>IFERROR(DATA!B152/DATA!B144,0)</f>
        <v>0</v>
      </c>
      <c r="F3" s="14">
        <f>IFERROR(DATA!C152/DATA!C144,0)</f>
        <v>0</v>
      </c>
      <c r="G3" s="14">
        <f>IFERROR(DATA!D152/DATA!D144,0)</f>
        <v>0</v>
      </c>
      <c r="H3" s="14">
        <f>IFERROR(DATA!E152/DATA!E144,0)</f>
        <v>0</v>
      </c>
      <c r="I3" s="14">
        <f>IFERROR(DATA!F152/DATA!F144,0)</f>
        <v>0</v>
      </c>
    </row>
    <row r="4" customHeight="1" spans="1:9">
      <c r="A4" s="12">
        <f>SUBTOTAL(3,$C$2:C4)</f>
        <v>3</v>
      </c>
      <c r="B4" s="13"/>
      <c r="C4" s="5" t="s">
        <v>201</v>
      </c>
      <c r="D4" s="5" t="s">
        <v>202</v>
      </c>
      <c r="E4" s="14">
        <f>IFERROR(DATA!B158/DATA!B144,0)</f>
        <v>0</v>
      </c>
      <c r="F4" s="14">
        <f>IFERROR(DATA!C158/DATA!C144,0)</f>
        <v>0</v>
      </c>
      <c r="G4" s="14">
        <f>IFERROR(DATA!D158/DATA!D144,0)</f>
        <v>0</v>
      </c>
      <c r="H4" s="14">
        <f>IFERROR(DATA!E158/DATA!E144,0)</f>
        <v>0</v>
      </c>
      <c r="I4" s="14">
        <f>IFERROR(DATA!F158/DATA!F144,0)</f>
        <v>0</v>
      </c>
    </row>
    <row r="5" customHeight="1" spans="1:11">
      <c r="A5" s="12">
        <f>SUBTOTAL(3,$C$2:C5)</f>
        <v>4</v>
      </c>
      <c r="B5" s="13"/>
      <c r="C5" s="5" t="s">
        <v>203</v>
      </c>
      <c r="E5" s="14" t="str">
        <f>IFERROR(IF(PROCESSING!C3="","X",PROCESSING!C3/DATA!B144),0)</f>
        <v>X</v>
      </c>
      <c r="F5" s="14" t="str">
        <f>IFERROR(IF(PROCESSING!D3="","X",PROCESSING!D3/DATA!C144),0)</f>
        <v>X</v>
      </c>
      <c r="G5" s="14" t="str">
        <f>IFERROR(IF(PROCESSING!E3="","X",PROCESSING!E3/DATA!D144),0)</f>
        <v>X</v>
      </c>
      <c r="H5" s="14" t="str">
        <f>IFERROR(IF(PROCESSING!F3="","X",PROCESSING!F3/DATA!E144),0)</f>
        <v>X</v>
      </c>
      <c r="I5" s="14" t="str">
        <f>IFERROR(IF(PROCESSING!G3="","X",PROCESSING!G3/DATA!F144),0)</f>
        <v>X</v>
      </c>
      <c r="K5" s="5" t="s">
        <v>204</v>
      </c>
    </row>
    <row r="6" customHeight="1" spans="1:9">
      <c r="A6" s="12">
        <f>SUBTOTAL(3,$C$2:C6)</f>
        <v>5</v>
      </c>
      <c r="B6" s="13"/>
      <c r="C6" s="5" t="s">
        <v>205</v>
      </c>
      <c r="D6" s="5" t="s">
        <v>206</v>
      </c>
      <c r="E6" s="14">
        <f>IFERROR(DATA!B158/DATA!B81,0)</f>
        <v>0</v>
      </c>
      <c r="F6" s="14">
        <f>IFERROR(DATA!C158/DATA!C81,0)</f>
        <v>0</v>
      </c>
      <c r="G6" s="14">
        <f>IFERROR(DATA!D158/DATA!D81,0)</f>
        <v>0</v>
      </c>
      <c r="H6" s="14">
        <f>IFERROR(DATA!E158/DATA!E81,0)</f>
        <v>0</v>
      </c>
      <c r="I6" s="14">
        <f>IFERROR(DATA!F158/DATA!F81,0)</f>
        <v>0</v>
      </c>
    </row>
    <row r="7" customHeight="1" spans="1:9">
      <c r="A7" s="12">
        <f>SUBTOTAL(3,$C$2:C7)</f>
        <v>6</v>
      </c>
      <c r="B7" s="13"/>
      <c r="C7" s="5" t="s">
        <v>207</v>
      </c>
      <c r="D7" s="5" t="s">
        <v>208</v>
      </c>
      <c r="E7" s="14">
        <f>IFERROR(DATA!B158/DATA!B116,0)</f>
        <v>0</v>
      </c>
      <c r="F7" s="14">
        <f>IFERROR(DATA!C158/DATA!C116,0)</f>
        <v>0</v>
      </c>
      <c r="G7" s="14">
        <f>IFERROR(DATA!D158/DATA!D116,0)</f>
        <v>0</v>
      </c>
      <c r="H7" s="14">
        <f>IFERROR(DATA!E158/DATA!E116,0)</f>
        <v>0</v>
      </c>
      <c r="I7" s="14">
        <f>IFERROR(DATA!F158/DATA!F116,0)</f>
        <v>0</v>
      </c>
    </row>
    <row r="8" customHeight="1" spans="1:9">
      <c r="A8" s="12">
        <f>SUBTOTAL(3,$C$2:C8)</f>
        <v>7</v>
      </c>
      <c r="B8" s="13"/>
      <c r="C8" s="5" t="s">
        <v>209</v>
      </c>
      <c r="D8" s="5" t="s">
        <v>210</v>
      </c>
      <c r="E8" s="14">
        <f>IFERROR(PROCESSING!C5/(DATA!B83+DATA!B116-DATA!B8),0)</f>
        <v>0</v>
      </c>
      <c r="F8" s="14">
        <f>IFERROR(PROCESSING!D5/(DATA!C83+DATA!C116-DATA!C8),0)</f>
        <v>0</v>
      </c>
      <c r="G8" s="14">
        <f>IFERROR(PROCESSING!E5/(DATA!D83+DATA!D116-DATA!D8),0)</f>
        <v>0</v>
      </c>
      <c r="H8" s="14">
        <f>IFERROR(PROCESSING!F5/(DATA!E83+DATA!E116-DATA!E8),0)</f>
        <v>0</v>
      </c>
      <c r="I8" s="14">
        <f>IFERROR(PROCESSING!G5/(DATA!F83+DATA!F116-DATA!F8),0)</f>
        <v>0</v>
      </c>
    </row>
    <row r="9" s="3" customFormat="1" customHeight="1" spans="1:9">
      <c r="A9" s="15">
        <f>SUBTOTAL(3,$C$2:C9)</f>
        <v>8</v>
      </c>
      <c r="B9" s="16"/>
      <c r="C9" s="17" t="s">
        <v>211</v>
      </c>
      <c r="E9" s="18">
        <f>IFERROR(E4*E20*E17,0)</f>
        <v>0</v>
      </c>
      <c r="F9" s="18">
        <f>IFERROR(F4*F20*F17,0)</f>
        <v>0</v>
      </c>
      <c r="G9" s="18">
        <f>IFERROR(G4*G20*G17,0)</f>
        <v>0</v>
      </c>
      <c r="H9" s="18">
        <f>IFERROR(H4*H20*H17,0)</f>
        <v>0</v>
      </c>
      <c r="I9" s="18">
        <f>IFERROR(I4*I20*I17,0)</f>
        <v>0</v>
      </c>
    </row>
    <row r="10" s="2" customFormat="1" customHeight="1" spans="1:9">
      <c r="A10" s="9">
        <f>SUBTOTAL(3,$C$2:C10)</f>
        <v>9</v>
      </c>
      <c r="B10" s="10" t="s">
        <v>212</v>
      </c>
      <c r="C10" s="2" t="s">
        <v>213</v>
      </c>
      <c r="E10" s="19">
        <f>IFERROR(DATA!B6/DATA!B85,0)</f>
        <v>0</v>
      </c>
      <c r="F10" s="19">
        <f>IFERROR(DATA!C6/DATA!C85,0)</f>
        <v>0</v>
      </c>
      <c r="G10" s="19">
        <f>IFERROR(DATA!D6/DATA!D85,0)</f>
        <v>0</v>
      </c>
      <c r="H10" s="19">
        <f>IFERROR(DATA!E6/DATA!E85,0)</f>
        <v>0</v>
      </c>
      <c r="I10" s="19">
        <f>IFERROR(DATA!F6/DATA!F85,0)</f>
        <v>0</v>
      </c>
    </row>
    <row r="11" customHeight="1" spans="1:9">
      <c r="A11" s="12">
        <f>SUBTOTAL(3,$C$2:C11)</f>
        <v>10</v>
      </c>
      <c r="B11" s="13"/>
      <c r="C11" s="5" t="s">
        <v>214</v>
      </c>
      <c r="E11" s="20">
        <f>IFERROR((DATA!B6-DATA!B27)/DATA!B85,0)</f>
        <v>0</v>
      </c>
      <c r="F11" s="20">
        <f>IFERROR((DATA!C6-DATA!C27)/DATA!C85,0)</f>
        <v>0</v>
      </c>
      <c r="G11" s="20">
        <f>IFERROR((DATA!D6-DATA!D27)/DATA!D85,0)</f>
        <v>0</v>
      </c>
      <c r="H11" s="20">
        <f>IFERROR((DATA!E6-DATA!E27)/DATA!E85,0)</f>
        <v>0</v>
      </c>
      <c r="I11" s="20">
        <f>IFERROR((DATA!F6-DATA!F27)/DATA!F85,0)</f>
        <v>0</v>
      </c>
    </row>
    <row r="12" s="3" customFormat="1" customHeight="1" spans="1:9">
      <c r="A12" s="15">
        <f>SUBTOTAL(3,$C$2:C12)</f>
        <v>11</v>
      </c>
      <c r="B12" s="16"/>
      <c r="C12" s="3" t="s">
        <v>215</v>
      </c>
      <c r="E12" s="21">
        <f>IFERROR(DATA!B8/DATA!B85,0)</f>
        <v>0</v>
      </c>
      <c r="F12" s="21">
        <f>IFERROR(DATA!C8/DATA!C85,0)</f>
        <v>0</v>
      </c>
      <c r="G12" s="21">
        <f>IFERROR(DATA!D8/DATA!D85,0)</f>
        <v>0</v>
      </c>
      <c r="H12" s="21">
        <f>IFERROR(DATA!E8/DATA!E85,0)</f>
        <v>0</v>
      </c>
      <c r="I12" s="21">
        <f>IFERROR(DATA!F8/DATA!F85,0)</f>
        <v>0</v>
      </c>
    </row>
    <row r="13" s="2" customFormat="1" customHeight="1" spans="1:9">
      <c r="A13" s="9">
        <f>SUBTOTAL(3,$C$2:C13)</f>
        <v>12</v>
      </c>
      <c r="B13" s="10" t="s">
        <v>216</v>
      </c>
      <c r="C13" s="2" t="s">
        <v>217</v>
      </c>
      <c r="D13" s="2" t="s">
        <v>218</v>
      </c>
      <c r="E13" s="19">
        <f>IFERROR(DATA!B83/DATA!B81,0)</f>
        <v>0</v>
      </c>
      <c r="F13" s="19">
        <f>IFERROR(DATA!C83/DATA!C81,0)</f>
        <v>0</v>
      </c>
      <c r="G13" s="19">
        <f>IFERROR(DATA!D83/DATA!D81,0)</f>
        <v>0</v>
      </c>
      <c r="H13" s="19">
        <f>IFERROR(DATA!E83/DATA!E81,0)</f>
        <v>0</v>
      </c>
      <c r="I13" s="19">
        <f>IFERROR(DATA!F83/DATA!F81,0)</f>
        <v>0</v>
      </c>
    </row>
    <row r="14" customHeight="1" spans="1:9">
      <c r="A14" s="12">
        <f>SUBTOTAL(3,$C$2:C14)</f>
        <v>13</v>
      </c>
      <c r="B14" s="13"/>
      <c r="C14" s="5" t="s">
        <v>219</v>
      </c>
      <c r="D14" s="5" t="s">
        <v>220</v>
      </c>
      <c r="E14" s="20">
        <f>IFERROR(DATA!B83/DATA!B116,0)</f>
        <v>0</v>
      </c>
      <c r="F14" s="20">
        <f>IFERROR(DATA!C83/DATA!C116,0)</f>
        <v>0</v>
      </c>
      <c r="G14" s="20">
        <f>IFERROR(DATA!D83/DATA!D116,0)</f>
        <v>0</v>
      </c>
      <c r="H14" s="20">
        <f>IFERROR(DATA!E83/DATA!E116,0)</f>
        <v>0</v>
      </c>
      <c r="I14" s="20">
        <f>IFERROR(DATA!F83/DATA!F116,0)</f>
        <v>0</v>
      </c>
    </row>
    <row r="15" customHeight="1" spans="1:11">
      <c r="A15" s="12">
        <f>SUBTOTAL(3,$C$2:C15)</f>
        <v>14</v>
      </c>
      <c r="B15" s="13"/>
      <c r="C15" s="5" t="s">
        <v>221</v>
      </c>
      <c r="E15" s="20" t="str">
        <f>IFERROR(IF(PROCESSING!C3="","X",DATA!B83/PROCESSING!C3),0)</f>
        <v>X</v>
      </c>
      <c r="F15" s="20" t="str">
        <f>IFERROR(IF(PROCESSING!D3="","X",DATA!C83/PROCESSING!D3),0)</f>
        <v>X</v>
      </c>
      <c r="G15" s="20" t="str">
        <f>IFERROR(IF(PROCESSING!E3="","X",DATA!D83/PROCESSING!E3),0)</f>
        <v>X</v>
      </c>
      <c r="H15" s="20" t="str">
        <f>IFERROR(IF(PROCESSING!F3="","X",DATA!E83/PROCESSING!F3),0)</f>
        <v>X</v>
      </c>
      <c r="I15" s="20" t="str">
        <f>IFERROR(IF(PROCESSING!G3="","X",DATA!F83/PROCESSING!G3),0)</f>
        <v>X</v>
      </c>
      <c r="K15" s="5" t="s">
        <v>204</v>
      </c>
    </row>
    <row r="16" customHeight="1" spans="1:11">
      <c r="A16" s="12">
        <f>SUBTOTAL(3,$C$2:C16)</f>
        <v>15</v>
      </c>
      <c r="B16" s="13"/>
      <c r="C16" s="5" t="s">
        <v>222</v>
      </c>
      <c r="E16" s="20" t="str">
        <f>IFERROR(IF(PROCESSING!C3="","X",(DATA!B83-DATA!B8)/PROCESSING!C3),0)</f>
        <v>X</v>
      </c>
      <c r="F16" s="20" t="str">
        <f>IFERROR(IF(PROCESSING!D3="","X",(DATA!C83-DATA!C8)/PROCESSING!D3),0)</f>
        <v>X</v>
      </c>
      <c r="G16" s="20" t="str">
        <f>IFERROR(IF(PROCESSING!E3="","X",(DATA!D83-DATA!D8)/PROCESSING!E3),0)</f>
        <v>X</v>
      </c>
      <c r="H16" s="20" t="str">
        <f>IFERROR(IF(PROCESSING!F3="","X",(DATA!E83-DATA!E8)/PROCESSING!F3),0)</f>
        <v>X</v>
      </c>
      <c r="I16" s="20" t="str">
        <f>IFERROR(IF(PROCESSING!G3="","X",(DATA!F83-DATA!F8)/PROCESSING!G3),0)</f>
        <v>X</v>
      </c>
      <c r="K16" s="5" t="s">
        <v>204</v>
      </c>
    </row>
    <row r="17" customHeight="1" spans="1:9">
      <c r="A17" s="12"/>
      <c r="B17" s="13"/>
      <c r="C17" s="5" t="s">
        <v>223</v>
      </c>
      <c r="E17" s="20">
        <f>IFERROR(DATA!B81/DATA!B116,0)</f>
        <v>0</v>
      </c>
      <c r="F17" s="20">
        <f>IFERROR(DATA!C81/DATA!C116,0)</f>
        <v>0</v>
      </c>
      <c r="G17" s="20">
        <f>IFERROR(DATA!D81/DATA!D116,0)</f>
        <v>0</v>
      </c>
      <c r="H17" s="20">
        <f>IFERROR(DATA!E81/DATA!E116,0)</f>
        <v>0</v>
      </c>
      <c r="I17" s="20">
        <f>IFERROR(DATA!F81/DATA!F116,0)</f>
        <v>0</v>
      </c>
    </row>
    <row r="18" customHeight="1" spans="1:9">
      <c r="A18" s="12">
        <f>SUBTOTAL(3,$C$2:C18)</f>
        <v>17</v>
      </c>
      <c r="B18" s="13"/>
      <c r="C18" s="5" t="s">
        <v>224</v>
      </c>
      <c r="D18" s="5" t="s">
        <v>225</v>
      </c>
      <c r="E18" s="20">
        <f>IFERROR(DATA!B81/DATA!B116,0)</f>
        <v>0</v>
      </c>
      <c r="F18" s="20">
        <f>IFERROR(DATA!C81/DATA!C116,0)</f>
        <v>0</v>
      </c>
      <c r="G18" s="20">
        <f>IFERROR(DATA!D81/DATA!D116,0)</f>
        <v>0</v>
      </c>
      <c r="H18" s="20">
        <f>IFERROR(DATA!E81/DATA!E116,0)</f>
        <v>0</v>
      </c>
      <c r="I18" s="20">
        <f>IFERROR(DATA!F81/DATA!F116,0)</f>
        <v>0</v>
      </c>
    </row>
    <row r="19" s="3" customFormat="1" customHeight="1" spans="1:9">
      <c r="A19" s="15">
        <f>SUBTOTAL(3,$C$2:C19)</f>
        <v>18</v>
      </c>
      <c r="B19" s="16"/>
      <c r="C19" s="3" t="s">
        <v>226</v>
      </c>
      <c r="D19" s="3" t="s">
        <v>227</v>
      </c>
      <c r="E19" s="21">
        <f>IFERROR(PROCESSING!C2/DATA!B149,0)</f>
        <v>0</v>
      </c>
      <c r="F19" s="21">
        <f>IFERROR(PROCESSING!D2/DATA!C149,0)</f>
        <v>0</v>
      </c>
      <c r="G19" s="21">
        <f>IFERROR(PROCESSING!E2/DATA!D149,0)</f>
        <v>0</v>
      </c>
      <c r="H19" s="21">
        <f>IFERROR(PROCESSING!F2/DATA!E149,0)</f>
        <v>0</v>
      </c>
      <c r="I19" s="21">
        <f>IFERROR(PROCESSING!G2/DATA!F149,0)</f>
        <v>0</v>
      </c>
    </row>
    <row r="20" s="2" customFormat="1" customHeight="1" spans="1:9">
      <c r="A20" s="9">
        <f>SUBTOTAL(3,$C$2:C20)</f>
        <v>19</v>
      </c>
      <c r="B20" s="10" t="s">
        <v>228</v>
      </c>
      <c r="C20" s="2" t="s">
        <v>229</v>
      </c>
      <c r="E20" s="19">
        <f>IFERROR(DATA!B144/DATA!B81,0)</f>
        <v>0</v>
      </c>
      <c r="F20" s="19">
        <f>IFERROR(DATA!C144/DATA!C81,0)</f>
        <v>0</v>
      </c>
      <c r="G20" s="19">
        <f>IFERROR(DATA!D144/DATA!D81,0)</f>
        <v>0</v>
      </c>
      <c r="H20" s="19">
        <f>IFERROR(DATA!E144/DATA!E81,0)</f>
        <v>0</v>
      </c>
      <c r="I20" s="19">
        <f>IFERROR(DATA!F144/DATA!F81,0)</f>
        <v>0</v>
      </c>
    </row>
    <row r="21" customHeight="1" spans="1:9">
      <c r="A21" s="12">
        <f>SUBTOTAL(3,$C$2:C21)</f>
        <v>20</v>
      </c>
      <c r="B21" s="13"/>
      <c r="C21" s="5" t="s">
        <v>230</v>
      </c>
      <c r="E21" s="20">
        <f>IFERROR(DATA!B145/DATA!B49,0)</f>
        <v>0</v>
      </c>
      <c r="F21" s="20">
        <f>IFERROR(DATA!C145/DATA!C49,0)</f>
        <v>0</v>
      </c>
      <c r="G21" s="20">
        <f>IFERROR(DATA!D145/DATA!D49,0)</f>
        <v>0</v>
      </c>
      <c r="H21" s="20">
        <f>IFERROR(DATA!E145/DATA!E49,0)</f>
        <v>0</v>
      </c>
      <c r="I21" s="20">
        <f>IFERROR(DATA!F145/DATA!F49,0)</f>
        <v>0</v>
      </c>
    </row>
    <row r="22" customHeight="1" spans="1:9">
      <c r="A22" s="12">
        <f>SUBTOTAL(3,$C$2:C22)</f>
        <v>21</v>
      </c>
      <c r="B22" s="13"/>
      <c r="C22" s="5" t="s">
        <v>231</v>
      </c>
      <c r="E22" s="20">
        <f>IFERROR(DATA!B145/DATA!B27,0)</f>
        <v>0</v>
      </c>
      <c r="F22" s="20">
        <f>IFERROR(DATA!C145/DATA!C27,0)</f>
        <v>0</v>
      </c>
      <c r="G22" s="20">
        <f>IFERROR(DATA!D145/DATA!D27,0)</f>
        <v>0</v>
      </c>
      <c r="H22" s="20">
        <f>IFERROR(DATA!E145/DATA!E27,0)</f>
        <v>0</v>
      </c>
      <c r="I22" s="20">
        <f>IFERROR(DATA!F145/DATA!F27,0)</f>
        <v>0</v>
      </c>
    </row>
    <row r="23" customHeight="1" spans="1:9">
      <c r="A23" s="12">
        <f>SUBTOTAL(3,$C$2:C23)</f>
        <v>22</v>
      </c>
      <c r="B23" s="13"/>
      <c r="C23" s="5" t="s">
        <v>232</v>
      </c>
      <c r="E23" s="20">
        <f>IFERROR(DATA!B144/DATA!B18,0)</f>
        <v>0</v>
      </c>
      <c r="F23" s="20">
        <f>IFERROR(DATA!C144/DATA!C18,0)</f>
        <v>0</v>
      </c>
      <c r="G23" s="20">
        <f>IFERROR(DATA!D144/DATA!D18,0)</f>
        <v>0</v>
      </c>
      <c r="H23" s="20">
        <f>IFERROR(DATA!E144/DATA!E18,0)</f>
        <v>0</v>
      </c>
      <c r="I23" s="20">
        <f>IFERROR(DATA!F144/DATA!F18,0)</f>
        <v>0</v>
      </c>
    </row>
    <row r="24" customHeight="1" spans="1:9">
      <c r="A24" s="12">
        <f>SUBTOTAL(3,$C$2:C24)</f>
        <v>23</v>
      </c>
      <c r="B24" s="13"/>
      <c r="C24" s="5" t="s">
        <v>233</v>
      </c>
      <c r="E24" s="20">
        <f>IFERROR(DATA!B145/DATA!B86,0)</f>
        <v>0</v>
      </c>
      <c r="F24" s="20">
        <f>IFERROR(DATA!C145/DATA!C86,0)</f>
        <v>0</v>
      </c>
      <c r="G24" s="20">
        <f>IFERROR(DATA!D145/DATA!D86,0)</f>
        <v>0</v>
      </c>
      <c r="H24" s="20">
        <f>IFERROR(DATA!E145/DATA!E86,0)</f>
        <v>0</v>
      </c>
      <c r="I24" s="20">
        <f>IFERROR(DATA!F145/DATA!F86,0)</f>
        <v>0</v>
      </c>
    </row>
    <row r="25" customHeight="1" spans="1:9">
      <c r="A25" s="12">
        <f>SUBTOTAL(3,$C$2:C25)</f>
        <v>24</v>
      </c>
      <c r="B25" s="13"/>
      <c r="C25" s="5" t="s">
        <v>234</v>
      </c>
      <c r="D25" s="5" t="s">
        <v>235</v>
      </c>
      <c r="E25" s="22">
        <f>IFERROR((DATA!B18/DATA!B144)*365,0)</f>
        <v>0</v>
      </c>
      <c r="F25" s="22">
        <f>IFERROR((DATA!C18/DATA!C144)*365,0)</f>
        <v>0</v>
      </c>
      <c r="G25" s="22">
        <f>IFERROR((DATA!D18/DATA!D144)*365,0)</f>
        <v>0</v>
      </c>
      <c r="H25" s="22">
        <f>IFERROR((DATA!E18/DATA!E144)*365,0)</f>
        <v>0</v>
      </c>
      <c r="I25" s="22">
        <f>IFERROR((DATA!F18/DATA!F144)*365,0)</f>
        <v>0</v>
      </c>
    </row>
    <row r="26" customHeight="1" spans="1:9">
      <c r="A26" s="12">
        <f>SUBTOTAL(3,$C$2:C26)</f>
        <v>25</v>
      </c>
      <c r="B26" s="13"/>
      <c r="C26" s="5" t="s">
        <v>236</v>
      </c>
      <c r="D26" s="5" t="s">
        <v>237</v>
      </c>
      <c r="E26" s="22">
        <f>IFERROR((DATA!B27/DATA!B145)*365,0)</f>
        <v>0</v>
      </c>
      <c r="F26" s="22">
        <f>IFERROR((DATA!C27/DATA!C145)*365,0)</f>
        <v>0</v>
      </c>
      <c r="G26" s="22">
        <f>IFERROR((DATA!D27/DATA!D145)*365,0)</f>
        <v>0</v>
      </c>
      <c r="H26" s="22">
        <f>IFERROR((DATA!E27/DATA!E145)*365,0)</f>
        <v>0</v>
      </c>
      <c r="I26" s="22">
        <f>IFERROR((DATA!F27/DATA!F145)*365,0)</f>
        <v>0</v>
      </c>
    </row>
    <row r="27" customHeight="1" spans="1:9">
      <c r="A27" s="12">
        <f>SUBTOTAL(3,$C$2:C27)</f>
        <v>26</v>
      </c>
      <c r="B27" s="13"/>
      <c r="C27" s="5" t="s">
        <v>238</v>
      </c>
      <c r="D27" s="5" t="s">
        <v>239</v>
      </c>
      <c r="E27" s="22">
        <f>IFERROR((DATA!B86/DATA!B145)*365,0)</f>
        <v>0</v>
      </c>
      <c r="F27" s="22">
        <f>IFERROR((DATA!C86/DATA!C145)*365,0)</f>
        <v>0</v>
      </c>
      <c r="G27" s="22">
        <f>IFERROR((DATA!D86/DATA!D145)*365,0)</f>
        <v>0</v>
      </c>
      <c r="H27" s="22">
        <f>IFERROR((DATA!E86/DATA!E145)*365,0)</f>
        <v>0</v>
      </c>
      <c r="I27" s="22">
        <f>IFERROR((DATA!F86/DATA!F145)*365,0)</f>
        <v>0</v>
      </c>
    </row>
    <row r="28" s="3" customFormat="1" customHeight="1" spans="1:9">
      <c r="A28" s="15">
        <f>SUBTOTAL(3,$C$2:C28)</f>
        <v>27</v>
      </c>
      <c r="B28" s="16"/>
      <c r="C28" s="3" t="s">
        <v>240</v>
      </c>
      <c r="D28" s="3" t="s">
        <v>241</v>
      </c>
      <c r="E28" s="23">
        <f>E25+E26-E27</f>
        <v>0</v>
      </c>
      <c r="F28" s="23">
        <f>F25+F26-F27</f>
        <v>0</v>
      </c>
      <c r="G28" s="23">
        <f>G25+G26-G27</f>
        <v>0</v>
      </c>
      <c r="H28" s="23">
        <f>H25+H26-H27</f>
        <v>0</v>
      </c>
      <c r="I28" s="23">
        <f>I25+I26-I27</f>
        <v>0</v>
      </c>
    </row>
    <row r="29" s="2" customFormat="1" customHeight="1" spans="1:9">
      <c r="A29" s="9">
        <f>SUBTOTAL(3,$C$2:C29)</f>
        <v>28</v>
      </c>
      <c r="B29" s="10" t="s">
        <v>242</v>
      </c>
      <c r="C29" s="2" t="s">
        <v>243</v>
      </c>
      <c r="D29" s="2" t="s">
        <v>244</v>
      </c>
      <c r="E29" s="24">
        <f>IFERROR(DATA!$I$3/PROCESSING!C6,0)</f>
        <v>0</v>
      </c>
      <c r="F29" s="24">
        <f>IFERROR(DATA!$I$3/PROCESSING!D6,0)</f>
        <v>0</v>
      </c>
      <c r="G29" s="24">
        <f>IFERROR(DATA!$I$3/PROCESSING!E6,0)</f>
        <v>0</v>
      </c>
      <c r="H29" s="24">
        <f>IFERROR(DATA!$I$3/PROCESSING!F6,0)</f>
        <v>0</v>
      </c>
      <c r="I29" s="24">
        <f>IFERROR(DATA!$I$3/PROCESSING!G6,0)</f>
        <v>0</v>
      </c>
    </row>
    <row r="30" customHeight="1" spans="1:9">
      <c r="A30" s="12">
        <f>SUBTOTAL(3,$C$2:C30)</f>
        <v>29</v>
      </c>
      <c r="B30" s="13"/>
      <c r="C30" s="5" t="s">
        <v>245</v>
      </c>
      <c r="E30" s="6">
        <f>IFERROR(DATA!$I$3/PROCESSING!C12,0)</f>
        <v>0</v>
      </c>
      <c r="F30" s="6">
        <f>IFERROR(DATA!$I$3/PROCESSING!D12,0)</f>
        <v>0</v>
      </c>
      <c r="G30" s="6">
        <f>IFERROR(DATA!$I$3/PROCESSING!E12,0)</f>
        <v>0</v>
      </c>
      <c r="H30" s="6">
        <f>IFERROR(DATA!$I$3/PROCESSING!F12,0)</f>
        <v>0</v>
      </c>
      <c r="I30" s="6">
        <f>IFERROR(DATA!$I$3/PROCESSING!G12,0)</f>
        <v>0</v>
      </c>
    </row>
    <row r="31" customHeight="1" spans="1:9">
      <c r="A31" s="12">
        <f>SUBTOTAL(3,$C$2:C31)</f>
        <v>30</v>
      </c>
      <c r="B31" s="13"/>
      <c r="C31" s="5" t="s">
        <v>246</v>
      </c>
      <c r="D31" s="5" t="s">
        <v>247</v>
      </c>
      <c r="E31" s="6">
        <f>IFERROR(DATA!$I$3/PROCESSING!C7,0)</f>
        <v>0</v>
      </c>
      <c r="F31" s="6">
        <f>IFERROR(DATA!$I$3/PROCESSING!D7,0)</f>
        <v>0</v>
      </c>
      <c r="G31" s="6">
        <f>IFERROR(DATA!$I$3/PROCESSING!E7,0)</f>
        <v>0</v>
      </c>
      <c r="H31" s="6">
        <f>IFERROR(DATA!$I$3/PROCESSING!F7,0)</f>
        <v>0</v>
      </c>
      <c r="I31" s="6">
        <f>IFERROR(DATA!$I$3/PROCESSING!G7,0)</f>
        <v>0</v>
      </c>
    </row>
    <row r="32" customHeight="1" spans="1:9">
      <c r="A32" s="12">
        <f>SUBTOTAL(3,$C$2:C32)</f>
        <v>31</v>
      </c>
      <c r="B32" s="13"/>
      <c r="C32" s="5" t="s">
        <v>248</v>
      </c>
      <c r="D32" s="5" t="s">
        <v>249</v>
      </c>
      <c r="E32" s="6">
        <f>IFERROR(PROCESSING!C8/DATA!B144,0)</f>
        <v>0</v>
      </c>
      <c r="F32" s="6">
        <f>IFERROR(PROCESSING!D8/DATA!C144,0)</f>
        <v>0</v>
      </c>
      <c r="G32" s="6">
        <f>IFERROR(PROCESSING!E8/DATA!D144,0)</f>
        <v>0</v>
      </c>
      <c r="H32" s="6">
        <f>IFERROR(PROCESSING!F8/DATA!E144,0)</f>
        <v>0</v>
      </c>
      <c r="I32" s="6">
        <f>IFERROR(PROCESSING!G8/DATA!F144,0)</f>
        <v>0</v>
      </c>
    </row>
    <row r="33" customHeight="1" spans="1:9">
      <c r="A33" s="12">
        <f>SUBTOTAL(3,$C$2:C33)</f>
        <v>32</v>
      </c>
      <c r="B33" s="13"/>
      <c r="C33" s="5" t="s">
        <v>250</v>
      </c>
      <c r="D33" s="5" t="s">
        <v>251</v>
      </c>
      <c r="E33" s="6">
        <f>IFERROR(PROCESSING!C8/DATA!B171,0)</f>
        <v>0</v>
      </c>
      <c r="F33" s="6">
        <f>IFERROR(PROCESSING!D8/DATA!C171,0)</f>
        <v>0</v>
      </c>
      <c r="G33" s="6">
        <f>IFERROR(PROCESSING!E8/DATA!D171,0)</f>
        <v>0</v>
      </c>
      <c r="H33" s="6">
        <f>IFERROR(PROCESSING!F8/DATA!E171,0)</f>
        <v>0</v>
      </c>
      <c r="I33" s="6">
        <f>IFERROR(PROCESSING!G8/DATA!F171,0)</f>
        <v>0</v>
      </c>
    </row>
    <row r="34" customHeight="1" spans="1:11">
      <c r="A34" s="12">
        <f>SUBTOTAL(3,$C$2:C34)</f>
        <v>33</v>
      </c>
      <c r="B34" s="13"/>
      <c r="C34" s="5" t="s">
        <v>252</v>
      </c>
      <c r="E34" s="6" t="str">
        <f>IFERROR(IF(PROCESSING!C3="","X",PROCESSING!C9/PROCESSING!C3),0)</f>
        <v>X</v>
      </c>
      <c r="F34" s="6" t="str">
        <f>IFERROR(IF(PROCESSING!D3="","X",PROCESSING!D9/PROCESSING!D3),0)</f>
        <v>X</v>
      </c>
      <c r="G34" s="6" t="str">
        <f>IFERROR(IF(PROCESSING!E3="","X",PROCESSING!E9/PROCESSING!E3),0)</f>
        <v>X</v>
      </c>
      <c r="H34" s="6" t="str">
        <f>IFERROR(IF(PROCESSING!F3="","X",PROCESSING!F9/PROCESSING!F3),0)</f>
        <v>X</v>
      </c>
      <c r="I34" s="6" t="str">
        <f>IFERROR(IF(PROCESSING!G3="","X",PROCESSING!G9/PROCESSING!G3),0)</f>
        <v>X</v>
      </c>
      <c r="K34" s="5" t="s">
        <v>204</v>
      </c>
    </row>
    <row r="35" customHeight="1" spans="1:9">
      <c r="A35" s="12">
        <f>SUBTOTAL(3,$C$2:C35)</f>
        <v>34</v>
      </c>
      <c r="B35" s="13"/>
      <c r="C35" s="5" t="s">
        <v>253</v>
      </c>
      <c r="E35" s="6">
        <f>IFERROR(PROCESSING!C9/PROCESSING!C2,0)</f>
        <v>0</v>
      </c>
      <c r="F35" s="6">
        <f>IFERROR(PROCESSING!D9/PROCESSING!D2,0)</f>
        <v>0</v>
      </c>
      <c r="G35" s="6">
        <f>IFERROR(PROCESSING!E9/PROCESSING!E2,0)</f>
        <v>0</v>
      </c>
      <c r="H35" s="6">
        <f>IFERROR(PROCESSING!F9/PROCESSING!F2,0)</f>
        <v>0</v>
      </c>
      <c r="I35" s="6">
        <f>IFERROR(PROCESSING!G9/PROCESSING!G2,0)</f>
        <v>0</v>
      </c>
    </row>
    <row r="36" customHeight="1" spans="1:9">
      <c r="A36" s="12">
        <f>SUBTOTAL(3,$C$2:C36)</f>
        <v>35</v>
      </c>
      <c r="B36" s="13"/>
      <c r="C36" s="5" t="s">
        <v>254</v>
      </c>
      <c r="E36" s="6">
        <f>IFERROR(PROCESSING!C10/DATA!B144,0)</f>
        <v>0</v>
      </c>
      <c r="F36" s="6">
        <f>IFERROR(PROCESSING!D10/DATA!C144,0)</f>
        <v>0</v>
      </c>
      <c r="G36" s="6">
        <f>IFERROR(PROCESSING!E10/DATA!D144,0)</f>
        <v>0</v>
      </c>
      <c r="H36" s="6">
        <f>IFERROR(PROCESSING!F10/DATA!E144,0)</f>
        <v>0</v>
      </c>
      <c r="I36" s="6">
        <f>IFERROR(PROCESSING!G10/DATA!F144,0)</f>
        <v>0</v>
      </c>
    </row>
    <row r="37" customHeight="1" spans="1:9">
      <c r="A37" s="12">
        <f>SUBTOTAL(3,$C$2:C37)</f>
        <v>36</v>
      </c>
      <c r="B37" s="13"/>
      <c r="C37" s="5" t="s">
        <v>255</v>
      </c>
      <c r="D37" s="5" t="s">
        <v>256</v>
      </c>
      <c r="E37" s="14">
        <f>IFERROR(PROCESSING!C10/PROCESSING!C8,0)</f>
        <v>0</v>
      </c>
      <c r="F37" s="14">
        <f>IFERROR(PROCESSING!D10/PROCESSING!D8,0)</f>
        <v>0</v>
      </c>
      <c r="G37" s="14">
        <f>IFERROR(PROCESSING!E10/PROCESSING!E8,0)</f>
        <v>0</v>
      </c>
      <c r="H37" s="14">
        <f>IFERROR(PROCESSING!F10/PROCESSING!F8,0)</f>
        <v>0</v>
      </c>
      <c r="I37" s="14">
        <f>IFERROR(PROCESSING!G10/PROCESSING!G8,0)</f>
        <v>0</v>
      </c>
    </row>
    <row r="38" customHeight="1" spans="1:9">
      <c r="A38" s="12">
        <f>SUBTOTAL(3,$C$2:C38)</f>
        <v>37</v>
      </c>
      <c r="B38" s="13"/>
      <c r="C38" s="5" t="s">
        <v>257</v>
      </c>
      <c r="E38" s="14" t="str">
        <f>IFERROR(IF(DATA!B220="","X",DATA!B220/DATA!$I$3),0)</f>
        <v>X</v>
      </c>
      <c r="F38" s="14" t="str">
        <f>IFERROR(IF(DATA!C220="","X",DATA!C220/DATA!$I$3),0)</f>
        <v>X</v>
      </c>
      <c r="G38" s="14" t="str">
        <f>IFERROR(IF(DATA!D220="","X",DATA!D220/DATA!$I$3),0)</f>
        <v>X</v>
      </c>
      <c r="H38" s="14" t="str">
        <f>IFERROR(IF(DATA!E220="","X",DATA!E220/DATA!$I$3),0)</f>
        <v>X</v>
      </c>
      <c r="I38" s="14" t="str">
        <f>IFERROR(IF(DATA!F220="","X",DATA!F220/DATA!$I$3),0)</f>
        <v>X</v>
      </c>
    </row>
    <row r="39" customHeight="1" spans="1:11">
      <c r="A39" s="12">
        <f>SUBTOTAL(3,$C$2:C39)</f>
        <v>38</v>
      </c>
      <c r="B39" s="13"/>
      <c r="C39" s="25" t="s">
        <v>258</v>
      </c>
      <c r="E39" s="6" t="str">
        <f>IFERROR(IF(DATA!B182="","X",DATA!B158+DATA!B176-DATA!B195-PROCESSING!C11),0)</f>
        <v>X</v>
      </c>
      <c r="F39" s="6" t="str">
        <f>IFERROR(IF(DATA!C182="","X",DATA!C158+DATA!C176-DATA!C195-PROCESSING!D11),0)</f>
        <v>X</v>
      </c>
      <c r="G39" s="6" t="str">
        <f>IFERROR(IF(DATA!D182="","X",DATA!D158+DATA!D176-DATA!D195-PROCESSING!E11),0)</f>
        <v>X</v>
      </c>
      <c r="H39" s="6" t="str">
        <f>IFERROR(IF(DATA!E182="","X",DATA!E158+DATA!E176-DATA!E195-PROCESSING!F11),0)</f>
        <v>X</v>
      </c>
      <c r="I39" s="6" t="str">
        <f>IFERROR(IF(DATA!F182="","X",DATA!F158+DATA!F176-DATA!F195-PROCESSING!G11),0)</f>
        <v>X</v>
      </c>
      <c r="K39" s="5" t="s">
        <v>259</v>
      </c>
    </row>
    <row r="40" s="3" customFormat="1" customHeight="1" spans="1:11">
      <c r="A40" s="15">
        <f>SUBTOTAL(3,$C$2:C40)</f>
        <v>39</v>
      </c>
      <c r="B40" s="16"/>
      <c r="C40" s="17" t="s">
        <v>260</v>
      </c>
      <c r="E40" s="18" t="str">
        <f>IFERROR(IF(DATA!B182="","X",E39/PROCESSING!C8),0)</f>
        <v>X</v>
      </c>
      <c r="F40" s="18" t="str">
        <f>IFERROR(IF(DATA!C182="","X",F39/PROCESSING!D8),0)</f>
        <v>X</v>
      </c>
      <c r="G40" s="18" t="str">
        <f>IFERROR(IF(DATA!D182="","X",G39/PROCESSING!E8),0)</f>
        <v>X</v>
      </c>
      <c r="H40" s="18" t="str">
        <f>IFERROR(IF(DATA!E182="","X",H39/PROCESSING!F8),0)</f>
        <v>X</v>
      </c>
      <c r="I40" s="18" t="str">
        <f>IFERROR(IF(DATA!F182="","X",I39/PROCESSING!G8),0)</f>
        <v>X</v>
      </c>
      <c r="K40" s="3" t="s">
        <v>204</v>
      </c>
    </row>
  </sheetData>
  <mergeCells count="5">
    <mergeCell ref="B2:B9"/>
    <mergeCell ref="B10:B12"/>
    <mergeCell ref="B13:B19"/>
    <mergeCell ref="B20:B28"/>
    <mergeCell ref="B29:B40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PROCESSING</vt:lpstr>
      <vt:lpstr>RATIOS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centolar69@gmail.com</dc:creator>
  <cp:lastModifiedBy>Summer5869</cp:lastModifiedBy>
  <dcterms:created xsi:type="dcterms:W3CDTF">2022-11-23T22:57:00Z</dcterms:created>
  <dcterms:modified xsi:type="dcterms:W3CDTF">2026-04-29T04:08:44Z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925AB2F7CFBC4631AD9E42479E9374DB</vt:lpwstr>
  </property>
  <property fmtid="{D5CDD505-2E9C-101B-9397-08002B2CF9AE}" pid="3" name="KSOProductBuildVer">
    <vt:lpwstr>1033-12.2.0.22549</vt:lpwstr>
  </property>
</Properties>
</file>